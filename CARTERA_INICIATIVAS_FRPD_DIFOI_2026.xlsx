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rtera_Iniciativas_Viva" sheetId="1" state="visible" r:id="rId1"/>
    <sheet name="2. Lineas_Estrategicas_FRPD" sheetId="2" state="visible" r:id="rId2"/>
    <sheet name="3. Organismos_MercadoPublico" sheetId="3" state="visible" r:id="rId3"/>
    <sheet name="4. Resumen_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24" customWidth="1" min="4" max="4"/>
    <col width="12" customWidth="1" min="5" max="5"/>
    <col width="25" customWidth="1" min="6" max="6"/>
    <col width="32" customWidth="1" min="7" max="7"/>
    <col width="12" customWidth="1" min="8" max="8"/>
    <col width="20" customWidth="1" min="9" max="9"/>
    <col width="42" customWidth="1" min="10" max="10"/>
    <col width="24" customWidth="1" min="11" max="11"/>
    <col width="32" customWidth="1" min="12" max="12"/>
    <col width="22" customWidth="1" min="13" max="13"/>
    <col width="35" customWidth="1" min="14" max="14"/>
    <col width="22" customWidth="1" min="15" max="15"/>
    <col width="45" customWidth="1" min="16" max="16"/>
    <col width="45" customWidth="1" min="17" max="17"/>
    <col width="20" customWidth="1" min="18" max="18"/>
    <col width="16" customWidth="1" min="19" max="19"/>
  </cols>
  <sheetData>
    <row r="1">
      <c r="A1" s="1" t="inlineStr">
        <is>
          <t>CARTERA DE INICIATIVAS DE DESARROLLO Y PRODUCTIVIDAD — DIFOI GORE ARAUCANÍA</t>
        </is>
      </c>
    </row>
    <row r="2">
      <c r="A2" s="2" t="inlineStr">
        <is>
          <t>Gestión Viva y Formulación de Iniciativas FRPD (D.S. 1.699 de 2024 / ERD 2040)</t>
        </is>
      </c>
    </row>
    <row r="4">
      <c r="A4" s="3" t="inlineStr">
        <is>
          <t>ID_INICIATIVA</t>
        </is>
      </c>
      <c r="B4" s="3" t="inlineStr">
        <is>
          <t>COD_LINEA</t>
        </is>
      </c>
      <c r="C4" s="3" t="inlineStr">
        <is>
          <t>LINEA_ESTRATEGICA</t>
        </is>
      </c>
      <c r="D4" s="3" t="inlineStr">
        <is>
          <t>BLOQUE</t>
        </is>
      </c>
      <c r="E4" s="3" t="inlineStr">
        <is>
          <t>COD_TERR</t>
        </is>
      </c>
      <c r="F4" s="3" t="inlineStr">
        <is>
          <t>TERRITORIO_ERD</t>
        </is>
      </c>
      <c r="G4" s="3" t="inlineStr">
        <is>
          <t>COMUNAS_IMPACTO</t>
        </is>
      </c>
      <c r="H4" s="3" t="inlineStr">
        <is>
          <t>COD_CTCI</t>
        </is>
      </c>
      <c r="I4" s="3" t="inlineStr">
        <is>
          <t>LINEAMIENTO_CTCI</t>
        </is>
      </c>
      <c r="J4" s="3" t="inlineStr">
        <is>
          <t>TITULO_INICIATIVA_FRPD</t>
        </is>
      </c>
      <c r="K4" s="3" t="inlineStr">
        <is>
          <t>ESTADO_GESTION</t>
        </is>
      </c>
      <c r="L4" s="3" t="inlineStr">
        <is>
          <t>MADUREZ_TECNICA</t>
        </is>
      </c>
      <c r="M4" s="3" t="inlineStr">
        <is>
          <t>PRESUPUESTO_M$ (ESTIMADO)</t>
        </is>
      </c>
      <c r="N4" s="3" t="inlineStr">
        <is>
          <t>EJECUTOR_PROPUESTO</t>
        </is>
      </c>
      <c r="O4" s="3" t="inlineStr">
        <is>
          <t>ENCARGADO_DIFOI</t>
        </is>
      </c>
      <c r="P4" s="3" t="inlineStr">
        <is>
          <t>PROBLEMA_BRECHA_TERRITORIAL</t>
        </is>
      </c>
      <c r="Q4" s="3" t="inlineStr">
        <is>
          <t>OBJETIVO_DESCRIPCION</t>
        </is>
      </c>
      <c r="R4" s="3" t="inlineStr">
        <is>
          <t>MARCO_ART8_DS1699</t>
        </is>
      </c>
      <c r="S4" s="3" t="inlineStr">
        <is>
          <t>FECHA_ACTUALIZACION</t>
        </is>
      </c>
    </row>
    <row r="5">
      <c r="A5" s="4" t="inlineStr">
        <is>
          <t>FRPD-01</t>
        </is>
      </c>
      <c r="B5" s="4" t="inlineStr">
        <is>
          <t>L-01</t>
        </is>
      </c>
      <c r="C5" s="5" t="inlineStr">
        <is>
          <t>Red regional de extensionismo tecnológico</t>
        </is>
      </c>
      <c r="D5" s="4" t="inlineStr">
        <is>
          <t>A. Habilitantes</t>
        </is>
      </c>
      <c r="E5" s="4" t="inlineStr">
        <is>
          <t>TPLC</t>
        </is>
      </c>
      <c r="F5" s="5" t="inlineStr">
        <is>
          <t>Temuco – Padre Las Casas</t>
        </is>
      </c>
      <c r="G5" s="5" t="inlineStr">
        <is>
          <t>Temuco, Padre Las Casas</t>
        </is>
      </c>
      <c r="H5" s="4" t="inlineStr">
        <is>
          <t>L6</t>
        </is>
      </c>
      <c r="I5" s="5" t="inlineStr">
        <is>
          <t>Digitalización</t>
        </is>
      </c>
      <c r="J5" s="5" t="inlineStr">
        <is>
          <t>Red regional de extensionismo tecnológico — Territorio Temuco – Padre Las Casas</t>
        </is>
      </c>
      <c r="K5" s="4" t="inlineStr">
        <is>
          <t>3. En Evaluación Ex-Ante</t>
        </is>
      </c>
      <c r="L5" s="4" t="inlineStr">
        <is>
          <t>3 - Evidencia levantada / Contraparte identificada</t>
        </is>
      </c>
      <c r="M5" s="6" t="n">
        <v>950</v>
      </c>
      <c r="N5" s="5" t="inlineStr">
        <is>
          <t>Centros Regionales (CGNA), IES Acreditadas (UFRO / UCT)</t>
        </is>
      </c>
      <c r="O5" s="5" t="inlineStr">
        <is>
          <t>Por Asignar DIFOI</t>
        </is>
      </c>
      <c r="P5" s="5" t="inlineStr">
        <is>
          <t>No existe arquitectura de extensionismo: seis de ocho territorios generan valor exportable sin contraparte científica local; la capacidad se concentra en Temuco (BIOREN UFRO, CGNA, Incubatec).</t>
        </is>
      </c>
      <c r="Q5" s="5" t="inlineStr">
        <is>
          <t>Arquitectura permanente que baje la oferta científica regional a la demanda productiva de los siete territorios fuera de Temuco: nodos con contraparte técnica estable, convenio con un Centro Regional ANID y programa universitario territorial.</t>
        </is>
      </c>
      <c r="R5" s="5" t="inlineStr">
        <is>
          <t>vi, vii, 2g, 2e</t>
        </is>
      </c>
      <c r="S5" s="4" t="inlineStr">
        <is>
          <t>2026-10-02</t>
        </is>
      </c>
    </row>
    <row r="6">
      <c r="A6" s="7" t="inlineStr">
        <is>
          <t>FRPD-02</t>
        </is>
      </c>
      <c r="B6" s="7" t="inlineStr">
        <is>
          <t>L-04</t>
        </is>
      </c>
      <c r="C6" s="8" t="inlineStr">
        <is>
          <t>Laboratorio regional de calidad de aguas</t>
        </is>
      </c>
      <c r="D6" s="7" t="inlineStr">
        <is>
          <t>B. Agua, suelo y clima</t>
        </is>
      </c>
      <c r="E6" s="7" t="inlineStr">
        <is>
          <t>TPLC</t>
        </is>
      </c>
      <c r="F6" s="8" t="inlineStr">
        <is>
          <t>Temuco – Padre Las Casas</t>
        </is>
      </c>
      <c r="G6" s="8" t="inlineStr">
        <is>
          <t>Temuco, Padre Las Casas</t>
        </is>
      </c>
      <c r="H6" s="7" t="inlineStr">
        <is>
          <t>L1</t>
        </is>
      </c>
      <c r="I6" s="8" t="inlineStr">
        <is>
          <t>Clima y agua</t>
        </is>
      </c>
      <c r="J6" s="8" t="inlineStr">
        <is>
          <t>Laboratorio regional de calidad de aguas — Territorio Temuco – Padre Las Casas</t>
        </is>
      </c>
      <c r="K6" s="7" t="inlineStr">
        <is>
          <t>3. En Evaluación Ex-Ante</t>
        </is>
      </c>
      <c r="L6" s="7" t="inlineStr">
        <is>
          <t>3 - Evidencia levantada / Contraparte identificada</t>
        </is>
      </c>
      <c r="M6" s="9" t="n">
        <v>950</v>
      </c>
      <c r="N6" s="8" t="inlineStr">
        <is>
          <t>DGA, Centros de Investigación, IES Regionales</t>
        </is>
      </c>
      <c r="O6" s="8" t="inlineStr">
        <is>
          <t>Por Asignar DIFOI</t>
        </is>
      </c>
      <c r="P6" s="8" t="inlineStr">
        <is>
          <t>83 de las 236 estaciones vigentes de la DGA en la región son de calidad de aguas: la brecha es de laboratorio, no de instrumentación.</t>
        </is>
      </c>
      <c r="Q6" s="8" t="inlineStr">
        <is>
          <t>Capacidad regional de análisis de calidad de aguas (equipamiento multiuso, acreditación, operación) con datos abiertos.</t>
        </is>
      </c>
      <c r="R6" s="8" t="inlineStr">
        <is>
          <t>ii</t>
        </is>
      </c>
      <c r="S6" s="7" t="inlineStr">
        <is>
          <t>2026-10-02</t>
        </is>
      </c>
    </row>
    <row r="7">
      <c r="A7" s="4" t="inlineStr">
        <is>
          <t>FRPD-03</t>
        </is>
      </c>
      <c r="B7" s="4" t="inlineStr">
        <is>
          <t>L-05</t>
        </is>
      </c>
      <c r="C7" s="5" t="inlineStr">
        <is>
          <t>Contraparte técnica de cuenca y cierre de vacíos de monitoreo</t>
        </is>
      </c>
      <c r="D7" s="4" t="inlineStr">
        <is>
          <t>B. Agua, suelo y clima</t>
        </is>
      </c>
      <c r="E7" s="4" t="inlineStr">
        <is>
          <t>COS</t>
        </is>
      </c>
      <c r="F7" s="5" t="inlineStr">
        <is>
          <t>Costa Araucanía</t>
        </is>
      </c>
      <c r="G7" s="5" t="inlineStr">
        <is>
          <t>Carahue, Nueva Imperial, Saavedra, Teodoro Schmidt, Toltén</t>
        </is>
      </c>
      <c r="H7" s="4" t="inlineStr">
        <is>
          <t>L1</t>
        </is>
      </c>
      <c r="I7" s="5" t="inlineStr">
        <is>
          <t>Clima y agua</t>
        </is>
      </c>
      <c r="J7" s="5" t="inlineStr">
        <is>
          <t>Contraparte técnica de cuenca y cierre de vacíos de monitoreo — Territorio Costa Araucanía</t>
        </is>
      </c>
      <c r="K7" s="4" t="inlineStr">
        <is>
          <t>3. En Evaluación Ex-Ante</t>
        </is>
      </c>
      <c r="L7" s="4" t="inlineStr">
        <is>
          <t>3 - Evidencia levantada / Contraparte identificada</t>
        </is>
      </c>
      <c r="M7" s="6" t="n">
        <v>950</v>
      </c>
      <c r="N7" s="5" t="inlineStr">
        <is>
          <t>DGA, Centros de Investigación, IES Regionales</t>
        </is>
      </c>
      <c r="O7" s="5" t="inlineStr">
        <is>
          <t>Por Asignar DIFOI</t>
        </is>
      </c>
      <c r="P7" s="5" t="inlineStr">
        <is>
          <t>Cinco de ocho territorios se reparten entre dos o más cuencas; Queule y las franjas costeras suman 1.050 km² sin estaciones.</t>
        </is>
      </c>
      <c r="Q7" s="5" t="inlineStr">
        <is>
          <t>Instancia técnica regional que traduzca los Planes Estratégicos de Gestión Hídrica a cartera de inversión y cierre los vacíos de medición.</t>
        </is>
      </c>
      <c r="R7" s="5" t="inlineStr">
        <is>
          <t>2d, 2e, 3a</t>
        </is>
      </c>
      <c r="S7" s="4" t="inlineStr">
        <is>
          <t>2026-10-02</t>
        </is>
      </c>
    </row>
    <row r="8">
      <c r="A8" s="7" t="inlineStr">
        <is>
          <t>FRPD-04</t>
        </is>
      </c>
      <c r="B8" s="7" t="inlineStr">
        <is>
          <t>L-05</t>
        </is>
      </c>
      <c r="C8" s="8" t="inlineStr">
        <is>
          <t>Contraparte técnica de cuenca y cierre de vacíos de monitoreo</t>
        </is>
      </c>
      <c r="D8" s="7" t="inlineStr">
        <is>
          <t>B. Agua, suelo y clima</t>
        </is>
      </c>
      <c r="E8" s="7" t="inlineStr">
        <is>
          <t>CSU</t>
        </is>
      </c>
      <c r="F8" s="8" t="inlineStr">
        <is>
          <t>Cautín Sur</t>
        </is>
      </c>
      <c r="G8" s="8" t="inlineStr">
        <is>
          <t>Freire, Pitrufquén, Gorbea, Loncoche</t>
        </is>
      </c>
      <c r="H8" s="7" t="inlineStr">
        <is>
          <t>L1</t>
        </is>
      </c>
      <c r="I8" s="8" t="inlineStr">
        <is>
          <t>Clima y agua</t>
        </is>
      </c>
      <c r="J8" s="8" t="inlineStr">
        <is>
          <t>Contraparte técnica de cuenca y cierre de vacíos de monitoreo — Territorio Cautín Sur</t>
        </is>
      </c>
      <c r="K8" s="7" t="inlineStr">
        <is>
          <t>2. Ficha Técnica Completa</t>
        </is>
      </c>
      <c r="L8" s="7" t="inlineStr">
        <is>
          <t>2 - Evidencia parcial</t>
        </is>
      </c>
      <c r="M8" s="9" t="n">
        <v>650</v>
      </c>
      <c r="N8" s="8" t="inlineStr">
        <is>
          <t>DGA, Centros de Investigación, IES Regionales</t>
        </is>
      </c>
      <c r="O8" s="8" t="inlineStr">
        <is>
          <t>Por Asignar DIFOI</t>
        </is>
      </c>
      <c r="P8" s="8" t="inlineStr">
        <is>
          <t>Cinco de ocho territorios se reparten entre dos o más cuencas; Queule y las franjas costeras suman 1.050 km² sin estaciones.</t>
        </is>
      </c>
      <c r="Q8" s="8" t="inlineStr">
        <is>
          <t>Instancia técnica regional que traduzca los Planes Estratégicos de Gestión Hídrica a cartera de inversión y cierre los vacíos de medición.</t>
        </is>
      </c>
      <c r="R8" s="8" t="inlineStr">
        <is>
          <t>2d, 2e, 3a</t>
        </is>
      </c>
      <c r="S8" s="7" t="inlineStr">
        <is>
          <t>2026-10-02</t>
        </is>
      </c>
    </row>
    <row r="9">
      <c r="A9" s="4" t="inlineStr">
        <is>
          <t>FRPD-05</t>
        </is>
      </c>
      <c r="B9" s="4" t="inlineStr">
        <is>
          <t>L-05</t>
        </is>
      </c>
      <c r="C9" s="5" t="inlineStr">
        <is>
          <t>Contraparte técnica de cuenca y cierre de vacíos de monitoreo</t>
        </is>
      </c>
      <c r="D9" s="4" t="inlineStr">
        <is>
          <t>B. Agua, suelo y clima</t>
        </is>
      </c>
      <c r="E9" s="4" t="inlineStr">
        <is>
          <t>MNO</t>
        </is>
      </c>
      <c r="F9" s="5" t="inlineStr">
        <is>
          <t>Malleco Norte</t>
        </is>
      </c>
      <c r="G9" s="5" t="inlineStr">
        <is>
          <t>Angol, Renaico, Collipulli, Ercilla</t>
        </is>
      </c>
      <c r="H9" s="4" t="inlineStr">
        <is>
          <t>L1</t>
        </is>
      </c>
      <c r="I9" s="5" t="inlineStr">
        <is>
          <t>Clima y agua</t>
        </is>
      </c>
      <c r="J9" s="5" t="inlineStr">
        <is>
          <t>Contraparte técnica de cuenca y cierre de vacíos de monitoreo — Territorio Malleco Norte</t>
        </is>
      </c>
      <c r="K9" s="4" t="inlineStr">
        <is>
          <t>2. Ficha Técnica Completa</t>
        </is>
      </c>
      <c r="L9" s="4" t="inlineStr">
        <is>
          <t>2 - Evidencia parcial</t>
        </is>
      </c>
      <c r="M9" s="6" t="n">
        <v>650</v>
      </c>
      <c r="N9" s="5" t="inlineStr">
        <is>
          <t>DGA, Centros de Investigación, IES Regionales</t>
        </is>
      </c>
      <c r="O9" s="5" t="inlineStr">
        <is>
          <t>Por Asignar DIFOI</t>
        </is>
      </c>
      <c r="P9" s="5" t="inlineStr">
        <is>
          <t>Cinco de ocho territorios se reparten entre dos o más cuencas; Queule y las franjas costeras suman 1.050 km² sin estaciones.</t>
        </is>
      </c>
      <c r="Q9" s="5" t="inlineStr">
        <is>
          <t>Instancia técnica regional que traduzca los Planes Estratégicos de Gestión Hídrica a cartera de inversión y cierre los vacíos de medición.</t>
        </is>
      </c>
      <c r="R9" s="5" t="inlineStr">
        <is>
          <t>2d, 2e, 3a</t>
        </is>
      </c>
      <c r="S9" s="4" t="inlineStr">
        <is>
          <t>2026-10-02</t>
        </is>
      </c>
    </row>
    <row r="10">
      <c r="A10" s="7" t="inlineStr">
        <is>
          <t>FRPD-06</t>
        </is>
      </c>
      <c r="B10" s="7" t="inlineStr">
        <is>
          <t>L-06</t>
        </is>
      </c>
      <c r="C10" s="8" t="inlineStr">
        <is>
          <t>Recuperación de suelos y seguridad hídrica productiva</t>
        </is>
      </c>
      <c r="D10" s="7" t="inlineStr">
        <is>
          <t>B. Agua, suelo y clima</t>
        </is>
      </c>
      <c r="E10" s="7" t="inlineStr">
        <is>
          <t>AND</t>
        </is>
      </c>
      <c r="F10" s="8" t="inlineStr">
        <is>
          <t>Araucanía Andina</t>
        </is>
      </c>
      <c r="G10" s="8" t="inlineStr">
        <is>
          <t>Victoria, Lonquimay, Curacautín, Melipeuco, Vilcún, Cunco</t>
        </is>
      </c>
      <c r="H10" s="7" t="inlineStr">
        <is>
          <t>L1</t>
        </is>
      </c>
      <c r="I10" s="8" t="inlineStr">
        <is>
          <t>Clima y agua</t>
        </is>
      </c>
      <c r="J10" s="8" t="inlineStr">
        <is>
          <t>Recuperación de suelos y seguridad hídrica productiva — Territorio Araucanía Andina</t>
        </is>
      </c>
      <c r="K10" s="7" t="inlineStr">
        <is>
          <t>3. En Evaluación Ex-Ante</t>
        </is>
      </c>
      <c r="L10" s="7" t="inlineStr">
        <is>
          <t>3 - Evidencia levantada / Contraparte identificada</t>
        </is>
      </c>
      <c r="M10" s="9" t="n">
        <v>950</v>
      </c>
      <c r="N10" s="8" t="inlineStr">
        <is>
          <t>Entidades Privadas sin Fines de Lucro habilitadas (Res. 1/2026)</t>
        </is>
      </c>
      <c r="O10" s="8" t="inlineStr">
        <is>
          <t>Por Asignar DIFOI</t>
        </is>
      </c>
      <c r="P10" s="8" t="inlineStr">
        <is>
          <t>Disponibilidad hídrica proyectada −14,2% al 2050; erosión severa en cordones andinos y costeros; laboratorio de suelos de INIA Carillanca disponible.</t>
        </is>
      </c>
      <c r="Q10" s="8" t="inlineStr">
        <is>
          <t>Investigación aplicada y transferencia en recuperación de suelos degradados y seguridad hídrica para riego donde erosión y déficit coinciden con producción.</t>
        </is>
      </c>
      <c r="R10" s="8" t="inlineStr">
        <is>
          <t>3a, 3b.ii</t>
        </is>
      </c>
      <c r="S10" s="7" t="inlineStr">
        <is>
          <t>2026-10-02</t>
        </is>
      </c>
    </row>
    <row r="11">
      <c r="A11" s="4" t="inlineStr">
        <is>
          <t>FRPD-07</t>
        </is>
      </c>
      <c r="B11" s="4" t="inlineStr">
        <is>
          <t>L-06</t>
        </is>
      </c>
      <c r="C11" s="5" t="inlineStr">
        <is>
          <t>Recuperación de suelos y seguridad hídrica productiva</t>
        </is>
      </c>
      <c r="D11" s="4" t="inlineStr">
        <is>
          <t>B. Agua, suelo y clima</t>
        </is>
      </c>
      <c r="E11" s="4" t="inlineStr">
        <is>
          <t>VCE</t>
        </is>
      </c>
      <c r="F11" s="5" t="inlineStr">
        <is>
          <t>Valle Central</t>
        </is>
      </c>
      <c r="G11" s="5" t="inlineStr">
        <is>
          <t>Lautaro, Perquenco</t>
        </is>
      </c>
      <c r="H11" s="4" t="inlineStr">
        <is>
          <t>L1</t>
        </is>
      </c>
      <c r="I11" s="5" t="inlineStr">
        <is>
          <t>Clima y agua</t>
        </is>
      </c>
      <c r="J11" s="5" t="inlineStr">
        <is>
          <t>Recuperación de suelos y seguridad hídrica productiva — Territorio Valle Central</t>
        </is>
      </c>
      <c r="K11" s="4" t="inlineStr">
        <is>
          <t>2. Ficha Técnica Completa</t>
        </is>
      </c>
      <c r="L11" s="4" t="inlineStr">
        <is>
          <t>2 - Evidencia parcial</t>
        </is>
      </c>
      <c r="M11" s="6" t="n">
        <v>650</v>
      </c>
      <c r="N11" s="5" t="inlineStr">
        <is>
          <t>Entidades Privadas sin Fines de Lucro habilitadas (Res. 1/2026)</t>
        </is>
      </c>
      <c r="O11" s="5" t="inlineStr">
        <is>
          <t>Por Asignar DIFOI</t>
        </is>
      </c>
      <c r="P11" s="5" t="inlineStr">
        <is>
          <t>Disponibilidad hídrica proyectada −14,2% al 2050; erosión severa en cordones andinos y costeros; laboratorio de suelos de INIA Carillanca disponible.</t>
        </is>
      </c>
      <c r="Q11" s="5" t="inlineStr">
        <is>
          <t>Investigación aplicada y transferencia en recuperación de suelos degradados y seguridad hídrica para riego donde erosión y déficit coinciden con producción.</t>
        </is>
      </c>
      <c r="R11" s="5" t="inlineStr">
        <is>
          <t>3a, 3b.ii</t>
        </is>
      </c>
      <c r="S11" s="4" t="inlineStr">
        <is>
          <t>2026-10-02</t>
        </is>
      </c>
    </row>
    <row r="12">
      <c r="A12" s="7" t="inlineStr">
        <is>
          <t>FRPD-08</t>
        </is>
      </c>
      <c r="B12" s="7" t="inlineStr">
        <is>
          <t>L-06</t>
        </is>
      </c>
      <c r="C12" s="8" t="inlineStr">
        <is>
          <t>Recuperación de suelos y seguridad hídrica productiva</t>
        </is>
      </c>
      <c r="D12" s="7" t="inlineStr">
        <is>
          <t>B. Agua, suelo y clima</t>
        </is>
      </c>
      <c r="E12" s="7" t="inlineStr">
        <is>
          <t>NAH</t>
        </is>
      </c>
      <c r="F12" s="8" t="inlineStr">
        <is>
          <t>Nahuelbuta</t>
        </is>
      </c>
      <c r="G12" s="8" t="inlineStr">
        <is>
          <t>Purén, Los Sauces, Traiguén, Lumaco, Galvarino, Cholchol</t>
        </is>
      </c>
      <c r="H12" s="7" t="inlineStr">
        <is>
          <t>L1</t>
        </is>
      </c>
      <c r="I12" s="8" t="inlineStr">
        <is>
          <t>Clima y agua</t>
        </is>
      </c>
      <c r="J12" s="8" t="inlineStr">
        <is>
          <t>Recuperación de suelos y seguridad hídrica productiva — Territorio Nahuelbuta</t>
        </is>
      </c>
      <c r="K12" s="7" t="inlineStr">
        <is>
          <t>3. En Evaluación Ex-Ante</t>
        </is>
      </c>
      <c r="L12" s="7" t="inlineStr">
        <is>
          <t>3 - Evidencia levantada / Contraparte identificada</t>
        </is>
      </c>
      <c r="M12" s="9" t="n">
        <v>950</v>
      </c>
      <c r="N12" s="8" t="inlineStr">
        <is>
          <t>Entidades Privadas sin Fines de Lucro habilitadas (Res. 1/2026)</t>
        </is>
      </c>
      <c r="O12" s="8" t="inlineStr">
        <is>
          <t>Por Asignar DIFOI</t>
        </is>
      </c>
      <c r="P12" s="8" t="inlineStr">
        <is>
          <t>Disponibilidad hídrica proyectada −14,2% al 2050; erosión severa en cordones andinos y costeros; laboratorio de suelos de INIA Carillanca disponible.</t>
        </is>
      </c>
      <c r="Q12" s="8" t="inlineStr">
        <is>
          <t>Investigación aplicada y transferencia en recuperación de suelos degradados y seguridad hídrica para riego donde erosión y déficit coinciden con producción.</t>
        </is>
      </c>
      <c r="R12" s="8" t="inlineStr">
        <is>
          <t>3a, 3b.ii</t>
        </is>
      </c>
      <c r="S12" s="7" t="inlineStr">
        <is>
          <t>2026-10-02</t>
        </is>
      </c>
    </row>
    <row r="13">
      <c r="A13" s="4" t="inlineStr">
        <is>
          <t>FRPD-09</t>
        </is>
      </c>
      <c r="B13" s="4" t="inlineStr">
        <is>
          <t>L-07</t>
        </is>
      </c>
      <c r="C13" s="5" t="inlineStr">
        <is>
          <t>Capacidad de carga y calidad de sistemas lacustres</t>
        </is>
      </c>
      <c r="D13" s="4" t="inlineStr">
        <is>
          <t>B. Agua, suelo y clima</t>
        </is>
      </c>
      <c r="E13" s="4" t="inlineStr">
        <is>
          <t>LAC</t>
        </is>
      </c>
      <c r="F13" s="5" t="inlineStr">
        <is>
          <t>Araucanía Lacustre</t>
        </is>
      </c>
      <c r="G13" s="5" t="inlineStr">
        <is>
          <t>Villarrica, Pucón, Curarrehue</t>
        </is>
      </c>
      <c r="H13" s="4" t="inlineStr">
        <is>
          <t>L1</t>
        </is>
      </c>
      <c r="I13" s="5" t="inlineStr">
        <is>
          <t>Clima y agua</t>
        </is>
      </c>
      <c r="J13" s="5" t="inlineStr">
        <is>
          <t>Capacidad de carga y calidad de sistemas lacustres — Territorio Araucanía Lacustre</t>
        </is>
      </c>
      <c r="K13" s="4" t="inlineStr">
        <is>
          <t>3. En Evaluación Ex-Ante</t>
        </is>
      </c>
      <c r="L13" s="4" t="inlineStr">
        <is>
          <t>3 - Evidencia levantada / Contraparte identificada</t>
        </is>
      </c>
      <c r="M13" s="6" t="n">
        <v>950</v>
      </c>
      <c r="N13" s="5" t="inlineStr">
        <is>
          <t>DGA, Centros de Investigación, IES Regionales</t>
        </is>
      </c>
      <c r="O13" s="5" t="inlineStr">
        <is>
          <t>Por Asignar DIFOI</t>
        </is>
      </c>
      <c r="P13" s="5" t="inlineStr">
        <is>
          <t>El lago Villarrica tiene norma secundaria desde 2013 y eutroficación documentada; no hay línea base de capacidad de carga.</t>
        </is>
      </c>
      <c r="Q13" s="5" t="inlineStr">
        <is>
          <t>Línea base e instrumento permanente de medición de capacidad de carga turística y calidad lacustre, con atracción de talento en sustentabilidad turística.</t>
        </is>
      </c>
      <c r="R13" s="5" t="inlineStr">
        <is>
          <t>3a, ii, iv</t>
        </is>
      </c>
      <c r="S13" s="4" t="inlineStr">
        <is>
          <t>2026-10-02</t>
        </is>
      </c>
    </row>
    <row r="14">
      <c r="A14" s="7" t="inlineStr">
        <is>
          <t>FRPD-10</t>
        </is>
      </c>
      <c r="B14" s="7" t="inlineStr">
        <is>
          <t>L-08</t>
        </is>
      </c>
      <c r="C14" s="8" t="inlineStr">
        <is>
          <t>Infraestructura de poscosecha y procesamiento de alimentos</t>
        </is>
      </c>
      <c r="D14" s="7" t="inlineStr">
        <is>
          <t>C. Bioeconomía y valor agregado</t>
        </is>
      </c>
      <c r="E14" s="7" t="inlineStr">
        <is>
          <t>VCE</t>
        </is>
      </c>
      <c r="F14" s="8" t="inlineStr">
        <is>
          <t>Valle Central</t>
        </is>
      </c>
      <c r="G14" s="8" t="inlineStr">
        <is>
          <t>Lautaro, Perquenco</t>
        </is>
      </c>
      <c r="H14" s="7" t="inlineStr">
        <is>
          <t>L3</t>
        </is>
      </c>
      <c r="I14" s="8" t="inlineStr">
        <is>
          <t>Alimentación</t>
        </is>
      </c>
      <c r="J14" s="8" t="inlineStr">
        <is>
          <t>Infraestructura de poscosecha y procesamiento de alimentos — Territorio Valle Central</t>
        </is>
      </c>
      <c r="K14" s="7" t="inlineStr">
        <is>
          <t>3. En Evaluación Ex-Ante</t>
        </is>
      </c>
      <c r="L14" s="7" t="inlineStr">
        <is>
          <t>3 - Evidencia levantada / Contraparte identificada</t>
        </is>
      </c>
      <c r="M14" s="9" t="n">
        <v>950</v>
      </c>
      <c r="N14" s="8" t="inlineStr">
        <is>
          <t>INIA Carillanca, Cooperativas Agrícolas, Empresas Sociales</t>
        </is>
      </c>
      <c r="O14" s="8" t="inlineStr">
        <is>
          <t>Por Asignar DIFOI</t>
        </is>
      </c>
      <c r="P14" s="8" t="inlineStr">
        <is>
          <t>El Parque Industrial y Tecnológico (430 ha) no tiene componente de I+D; Valle Central y Malleco Norte tienen masa crítica alta y capacidad científica baja.</t>
        </is>
      </c>
      <c r="Q14" s="8" t="inlineStr">
        <is>
          <t>Equipamiento multiusuario para agregar valor: planta piloto y laboratorio de alimentos, poscosecha frutícola y de frutos secos, productos del mar y tubérculos.</t>
        </is>
      </c>
      <c r="R14" s="8" t="inlineStr">
        <is>
          <t>3c, 3a, ii</t>
        </is>
      </c>
      <c r="S14" s="7" t="inlineStr">
        <is>
          <t>2026-10-02</t>
        </is>
      </c>
    </row>
    <row r="15">
      <c r="A15" s="4" t="inlineStr">
        <is>
          <t>FRPD-11</t>
        </is>
      </c>
      <c r="B15" s="4" t="inlineStr">
        <is>
          <t>L-08</t>
        </is>
      </c>
      <c r="C15" s="5" t="inlineStr">
        <is>
          <t>Infraestructura de poscosecha y procesamiento de alimentos</t>
        </is>
      </c>
      <c r="D15" s="4" t="inlineStr">
        <is>
          <t>C. Bioeconomía y valor agregado</t>
        </is>
      </c>
      <c r="E15" s="4" t="inlineStr">
        <is>
          <t>CSU</t>
        </is>
      </c>
      <c r="F15" s="5" t="inlineStr">
        <is>
          <t>Cautín Sur</t>
        </is>
      </c>
      <c r="G15" s="5" t="inlineStr">
        <is>
          <t>Freire, Pitrufquén, Gorbea, Loncoche</t>
        </is>
      </c>
      <c r="H15" s="4" t="inlineStr">
        <is>
          <t>L3</t>
        </is>
      </c>
      <c r="I15" s="5" t="inlineStr">
        <is>
          <t>Alimentación</t>
        </is>
      </c>
      <c r="J15" s="5" t="inlineStr">
        <is>
          <t>Infraestructura de poscosecha y procesamiento de alimentos — Territorio Cautín Sur</t>
        </is>
      </c>
      <c r="K15" s="4" t="inlineStr">
        <is>
          <t>3. En Evaluación Ex-Ante</t>
        </is>
      </c>
      <c r="L15" s="4" t="inlineStr">
        <is>
          <t>3 - Evidencia levantada / Contraparte identificada</t>
        </is>
      </c>
      <c r="M15" s="6" t="n">
        <v>950</v>
      </c>
      <c r="N15" s="5" t="inlineStr">
        <is>
          <t>INIA Carillanca, Cooperativas Agrícolas, Empresas Sociales</t>
        </is>
      </c>
      <c r="O15" s="5" t="inlineStr">
        <is>
          <t>Por Asignar DIFOI</t>
        </is>
      </c>
      <c r="P15" s="5" t="inlineStr">
        <is>
          <t>El Parque Industrial y Tecnológico (430 ha) no tiene componente de I+D; Valle Central y Malleco Norte tienen masa crítica alta y capacidad científica baja.</t>
        </is>
      </c>
      <c r="Q15" s="5" t="inlineStr">
        <is>
          <t>Equipamiento multiusuario para agregar valor: planta piloto y laboratorio de alimentos, poscosecha frutícola y de frutos secos, productos del mar y tubérculos.</t>
        </is>
      </c>
      <c r="R15" s="5" t="inlineStr">
        <is>
          <t>3c, 3a, ii</t>
        </is>
      </c>
      <c r="S15" s="4" t="inlineStr">
        <is>
          <t>2026-10-02</t>
        </is>
      </c>
    </row>
    <row r="16">
      <c r="A16" s="7" t="inlineStr">
        <is>
          <t>FRPD-12</t>
        </is>
      </c>
      <c r="B16" s="7" t="inlineStr">
        <is>
          <t>L-08</t>
        </is>
      </c>
      <c r="C16" s="8" t="inlineStr">
        <is>
          <t>Infraestructura de poscosecha y procesamiento de alimentos</t>
        </is>
      </c>
      <c r="D16" s="7" t="inlineStr">
        <is>
          <t>C. Bioeconomía y valor agregado</t>
        </is>
      </c>
      <c r="E16" s="7" t="inlineStr">
        <is>
          <t>COS</t>
        </is>
      </c>
      <c r="F16" s="8" t="inlineStr">
        <is>
          <t>Costa Araucanía</t>
        </is>
      </c>
      <c r="G16" s="8" t="inlineStr">
        <is>
          <t>Carahue, Nueva Imperial, Saavedra, Teodoro Schmidt, Toltén</t>
        </is>
      </c>
      <c r="H16" s="7" t="inlineStr">
        <is>
          <t>L3</t>
        </is>
      </c>
      <c r="I16" s="8" t="inlineStr">
        <is>
          <t>Alimentación</t>
        </is>
      </c>
      <c r="J16" s="8" t="inlineStr">
        <is>
          <t>Infraestructura de poscosecha y procesamiento de alimentos — Territorio Costa Araucanía</t>
        </is>
      </c>
      <c r="K16" s="7" t="inlineStr">
        <is>
          <t>3. En Evaluación Ex-Ante</t>
        </is>
      </c>
      <c r="L16" s="7" t="inlineStr">
        <is>
          <t>3 - Evidencia levantada / Contraparte identificada</t>
        </is>
      </c>
      <c r="M16" s="9" t="n">
        <v>950</v>
      </c>
      <c r="N16" s="8" t="inlineStr">
        <is>
          <t>INIA Carillanca, Cooperativas Agrícolas, Empresas Sociales</t>
        </is>
      </c>
      <c r="O16" s="8" t="inlineStr">
        <is>
          <t>Por Asignar DIFOI</t>
        </is>
      </c>
      <c r="P16" s="8" t="inlineStr">
        <is>
          <t>El Parque Industrial y Tecnológico (430 ha) no tiene componente de I+D; Valle Central y Malleco Norte tienen masa crítica alta y capacidad científica baja.</t>
        </is>
      </c>
      <c r="Q16" s="8" t="inlineStr">
        <is>
          <t>Equipamiento multiusuario para agregar valor: planta piloto y laboratorio de alimentos, poscosecha frutícola y de frutos secos, productos del mar y tubérculos.</t>
        </is>
      </c>
      <c r="R16" s="8" t="inlineStr">
        <is>
          <t>3c, 3a, ii</t>
        </is>
      </c>
      <c r="S16" s="7" t="inlineStr">
        <is>
          <t>2026-10-02</t>
        </is>
      </c>
    </row>
    <row r="17">
      <c r="A17" s="4" t="inlineStr">
        <is>
          <t>FRPD-13</t>
        </is>
      </c>
      <c r="B17" s="4" t="inlineStr">
        <is>
          <t>L-08</t>
        </is>
      </c>
      <c r="C17" s="5" t="inlineStr">
        <is>
          <t>Infraestructura de poscosecha y procesamiento de alimentos</t>
        </is>
      </c>
      <c r="D17" s="4" t="inlineStr">
        <is>
          <t>C. Bioeconomía y valor agregado</t>
        </is>
      </c>
      <c r="E17" s="4" t="inlineStr">
        <is>
          <t>MNO</t>
        </is>
      </c>
      <c r="F17" s="5" t="inlineStr">
        <is>
          <t>Malleco Norte</t>
        </is>
      </c>
      <c r="G17" s="5" t="inlineStr">
        <is>
          <t>Angol, Renaico, Collipulli, Ercilla</t>
        </is>
      </c>
      <c r="H17" s="4" t="inlineStr">
        <is>
          <t>L3</t>
        </is>
      </c>
      <c r="I17" s="5" t="inlineStr">
        <is>
          <t>Alimentación</t>
        </is>
      </c>
      <c r="J17" s="5" t="inlineStr">
        <is>
          <t>Infraestructura de poscosecha y procesamiento de alimentos — Territorio Malleco Norte</t>
        </is>
      </c>
      <c r="K17" s="4" t="inlineStr">
        <is>
          <t>3. En Evaluación Ex-Ante</t>
        </is>
      </c>
      <c r="L17" s="4" t="inlineStr">
        <is>
          <t>3 - Evidencia levantada / Contraparte identificada</t>
        </is>
      </c>
      <c r="M17" s="6" t="n">
        <v>950</v>
      </c>
      <c r="N17" s="5" t="inlineStr">
        <is>
          <t>INIA Carillanca, Cooperativas Agrícolas, Empresas Sociales</t>
        </is>
      </c>
      <c r="O17" s="5" t="inlineStr">
        <is>
          <t>Por Asignar DIFOI</t>
        </is>
      </c>
      <c r="P17" s="5" t="inlineStr">
        <is>
          <t>El Parque Industrial y Tecnológico (430 ha) no tiene componente de I+D; Valle Central y Malleco Norte tienen masa crítica alta y capacidad científica baja.</t>
        </is>
      </c>
      <c r="Q17" s="5" t="inlineStr">
        <is>
          <t>Equipamiento multiusuario para agregar valor: planta piloto y laboratorio de alimentos, poscosecha frutícola y de frutos secos, productos del mar y tubérculos.</t>
        </is>
      </c>
      <c r="R17" s="5" t="inlineStr">
        <is>
          <t>3c, 3a, ii</t>
        </is>
      </c>
      <c r="S17" s="4" t="inlineStr">
        <is>
          <t>2026-10-02</t>
        </is>
      </c>
    </row>
    <row r="18">
      <c r="A18" s="7" t="inlineStr">
        <is>
          <t>FRPD-14</t>
        </is>
      </c>
      <c r="B18" s="7" t="inlineStr">
        <is>
          <t>L-08</t>
        </is>
      </c>
      <c r="C18" s="8" t="inlineStr">
        <is>
          <t>Infraestructura de poscosecha y procesamiento de alimentos</t>
        </is>
      </c>
      <c r="D18" s="7" t="inlineStr">
        <is>
          <t>C. Bioeconomía y valor agregado</t>
        </is>
      </c>
      <c r="E18" s="7" t="inlineStr">
        <is>
          <t>TPLC</t>
        </is>
      </c>
      <c r="F18" s="8" t="inlineStr">
        <is>
          <t>Temuco – Padre Las Casas</t>
        </is>
      </c>
      <c r="G18" s="8" t="inlineStr">
        <is>
          <t>Temuco, Padre Las Casas</t>
        </is>
      </c>
      <c r="H18" s="7" t="inlineStr">
        <is>
          <t>L3</t>
        </is>
      </c>
      <c r="I18" s="8" t="inlineStr">
        <is>
          <t>Alimentación</t>
        </is>
      </c>
      <c r="J18" s="8" t="inlineStr">
        <is>
          <t>Infraestructura de poscosecha y procesamiento de alimentos — Territorio Temuco – Padre Las Casas</t>
        </is>
      </c>
      <c r="K18" s="7" t="inlineStr">
        <is>
          <t>2. Ficha Técnica Completa</t>
        </is>
      </c>
      <c r="L18" s="7" t="inlineStr">
        <is>
          <t>2 - Evidencia parcial</t>
        </is>
      </c>
      <c r="M18" s="9" t="n">
        <v>650</v>
      </c>
      <c r="N18" s="8" t="inlineStr">
        <is>
          <t>INIA Carillanca, Cooperativas Agrícolas, Empresas Sociales</t>
        </is>
      </c>
      <c r="O18" s="8" t="inlineStr">
        <is>
          <t>Por Asignar DIFOI</t>
        </is>
      </c>
      <c r="P18" s="8" t="inlineStr">
        <is>
          <t>El Parque Industrial y Tecnológico (430 ha) no tiene componente de I+D; Valle Central y Malleco Norte tienen masa crítica alta y capacidad científica baja.</t>
        </is>
      </c>
      <c r="Q18" s="8" t="inlineStr">
        <is>
          <t>Equipamiento multiusuario para agregar valor: planta piloto y laboratorio de alimentos, poscosecha frutícola y de frutos secos, productos del mar y tubérculos.</t>
        </is>
      </c>
      <c r="R18" s="8" t="inlineStr">
        <is>
          <t>3c, 3a, ii</t>
        </is>
      </c>
      <c r="S18" s="7" t="inlineStr">
        <is>
          <t>2026-10-02</t>
        </is>
      </c>
    </row>
    <row r="19">
      <c r="A19" s="4" t="inlineStr">
        <is>
          <t>FRPD-15</t>
        </is>
      </c>
      <c r="B19" s="4" t="inlineStr">
        <is>
          <t>L-09</t>
        </is>
      </c>
      <c r="C19" s="5" t="inlineStr">
        <is>
          <t>Biotecnología aplicada a cultivos, semilla y genética</t>
        </is>
      </c>
      <c r="D19" s="4" t="inlineStr">
        <is>
          <t>C. Bioeconomía y valor agregado</t>
        </is>
      </c>
      <c r="E19" s="4" t="inlineStr">
        <is>
          <t>TPLC</t>
        </is>
      </c>
      <c r="F19" s="5" t="inlineStr">
        <is>
          <t>Temuco – Padre Las Casas</t>
        </is>
      </c>
      <c r="G19" s="5" t="inlineStr">
        <is>
          <t>Temuco, Padre Las Casas</t>
        </is>
      </c>
      <c r="H19" s="4" t="inlineStr">
        <is>
          <t>L2</t>
        </is>
      </c>
      <c r="I19" s="5" t="inlineStr">
        <is>
          <t>Biotecnología</t>
        </is>
      </c>
      <c r="J19" s="5" t="inlineStr">
        <is>
          <t>Biotecnología aplicada a cultivos, semilla y genética — Territorio Temuco – Padre Las Casas</t>
        </is>
      </c>
      <c r="K19" s="4" t="inlineStr">
        <is>
          <t>3. En Evaluación Ex-Ante</t>
        </is>
      </c>
      <c r="L19" s="4" t="inlineStr">
        <is>
          <t>3 - Evidencia levantada / Contraparte identificada</t>
        </is>
      </c>
      <c r="M19" s="6" t="n">
        <v>950</v>
      </c>
      <c r="N19" s="5" t="inlineStr">
        <is>
          <t>Centros Regionales (CGNA), IES Acreditadas (UFRO / UCT)</t>
        </is>
      </c>
      <c r="O19" s="5" t="inlineStr">
        <is>
          <t>Por Asignar DIFOI</t>
        </is>
      </c>
      <c r="P19" s="5" t="inlineStr">
        <is>
          <t>Capacidad instalada en Temuco poco usada por el resto: BIOREN, CGNA (Centro Regional ANID), INIA Carillanca.</t>
        </is>
      </c>
      <c r="Q19" s="5" t="inlineStr">
        <is>
          <t>Desarrollo experimental y transferencia en proteína vegetal, papa-semilla, cultivo de tejidos, mejoramiento genético ganadero y propagación de nativas.</t>
        </is>
      </c>
      <c r="R19" s="5" t="inlineStr">
        <is>
          <t>3c, 3d, vi, i, ii</t>
        </is>
      </c>
      <c r="S19" s="4" t="inlineStr">
        <is>
          <t>2026-10-02</t>
        </is>
      </c>
    </row>
    <row r="20">
      <c r="A20" s="7" t="inlineStr">
        <is>
          <t>FRPD-16</t>
        </is>
      </c>
      <c r="B20" s="7" t="inlineStr">
        <is>
          <t>L-09</t>
        </is>
      </c>
      <c r="C20" s="8" t="inlineStr">
        <is>
          <t>Biotecnología aplicada a cultivos, semilla y genética</t>
        </is>
      </c>
      <c r="D20" s="7" t="inlineStr">
        <is>
          <t>C. Bioeconomía y valor agregado</t>
        </is>
      </c>
      <c r="E20" s="7" t="inlineStr">
        <is>
          <t>VCE</t>
        </is>
      </c>
      <c r="F20" s="8" t="inlineStr">
        <is>
          <t>Valle Central</t>
        </is>
      </c>
      <c r="G20" s="8" t="inlineStr">
        <is>
          <t>Lautaro, Perquenco</t>
        </is>
      </c>
      <c r="H20" s="7" t="inlineStr">
        <is>
          <t>L2</t>
        </is>
      </c>
      <c r="I20" s="8" t="inlineStr">
        <is>
          <t>Biotecnología</t>
        </is>
      </c>
      <c r="J20" s="8" t="inlineStr">
        <is>
          <t>Biotecnología aplicada a cultivos, semilla y genética — Territorio Valle Central</t>
        </is>
      </c>
      <c r="K20" s="7" t="inlineStr">
        <is>
          <t>3. En Evaluación Ex-Ante</t>
        </is>
      </c>
      <c r="L20" s="7" t="inlineStr">
        <is>
          <t>3 - Evidencia levantada / Contraparte identificada</t>
        </is>
      </c>
      <c r="M20" s="9" t="n">
        <v>950</v>
      </c>
      <c r="N20" s="8" t="inlineStr">
        <is>
          <t>Centros Regionales (CGNA), IES Acreditadas (UFRO / UCT)</t>
        </is>
      </c>
      <c r="O20" s="8" t="inlineStr">
        <is>
          <t>Por Asignar DIFOI</t>
        </is>
      </c>
      <c r="P20" s="8" t="inlineStr">
        <is>
          <t>Capacidad instalada en Temuco poco usada por el resto: BIOREN, CGNA (Centro Regional ANID), INIA Carillanca.</t>
        </is>
      </c>
      <c r="Q20" s="8" t="inlineStr">
        <is>
          <t>Desarrollo experimental y transferencia en proteína vegetal, papa-semilla, cultivo de tejidos, mejoramiento genético ganadero y propagación de nativas.</t>
        </is>
      </c>
      <c r="R20" s="8" t="inlineStr">
        <is>
          <t>3c, 3d, vi, i, ii</t>
        </is>
      </c>
      <c r="S20" s="7" t="inlineStr">
        <is>
          <t>2026-10-02</t>
        </is>
      </c>
    </row>
    <row r="21">
      <c r="A21" s="4" t="inlineStr">
        <is>
          <t>FRPD-17</t>
        </is>
      </c>
      <c r="B21" s="4" t="inlineStr">
        <is>
          <t>L-09</t>
        </is>
      </c>
      <c r="C21" s="5" t="inlineStr">
        <is>
          <t>Biotecnología aplicada a cultivos, semilla y genética</t>
        </is>
      </c>
      <c r="D21" s="4" t="inlineStr">
        <is>
          <t>C. Bioeconomía y valor agregado</t>
        </is>
      </c>
      <c r="E21" s="4" t="inlineStr">
        <is>
          <t>CSU</t>
        </is>
      </c>
      <c r="F21" s="5" t="inlineStr">
        <is>
          <t>Cautín Sur</t>
        </is>
      </c>
      <c r="G21" s="5" t="inlineStr">
        <is>
          <t>Freire, Pitrufquén, Gorbea, Loncoche</t>
        </is>
      </c>
      <c r="H21" s="4" t="inlineStr">
        <is>
          <t>L2</t>
        </is>
      </c>
      <c r="I21" s="5" t="inlineStr">
        <is>
          <t>Biotecnología</t>
        </is>
      </c>
      <c r="J21" s="5" t="inlineStr">
        <is>
          <t>Biotecnología aplicada a cultivos, semilla y genética — Territorio Cautín Sur</t>
        </is>
      </c>
      <c r="K21" s="4" t="inlineStr">
        <is>
          <t>2. Ficha Técnica Completa</t>
        </is>
      </c>
      <c r="L21" s="4" t="inlineStr">
        <is>
          <t>2 - Evidencia parcial</t>
        </is>
      </c>
      <c r="M21" s="6" t="n">
        <v>650</v>
      </c>
      <c r="N21" s="5" t="inlineStr">
        <is>
          <t>Centros Regionales (CGNA), IES Acreditadas (UFRO / UCT)</t>
        </is>
      </c>
      <c r="O21" s="5" t="inlineStr">
        <is>
          <t>Por Asignar DIFOI</t>
        </is>
      </c>
      <c r="P21" s="5" t="inlineStr">
        <is>
          <t>Capacidad instalada en Temuco poco usada por el resto: BIOREN, CGNA (Centro Regional ANID), INIA Carillanca.</t>
        </is>
      </c>
      <c r="Q21" s="5" t="inlineStr">
        <is>
          <t>Desarrollo experimental y transferencia en proteína vegetal, papa-semilla, cultivo de tejidos, mejoramiento genético ganadero y propagación de nativas.</t>
        </is>
      </c>
      <c r="R21" s="5" t="inlineStr">
        <is>
          <t>3c, 3d, vi, i, ii</t>
        </is>
      </c>
      <c r="S21" s="4" t="inlineStr">
        <is>
          <t>2026-10-02</t>
        </is>
      </c>
    </row>
    <row r="22">
      <c r="A22" s="7" t="inlineStr">
        <is>
          <t>FRPD-18</t>
        </is>
      </c>
      <c r="B22" s="7" t="inlineStr">
        <is>
          <t>L-09</t>
        </is>
      </c>
      <c r="C22" s="8" t="inlineStr">
        <is>
          <t>Biotecnología aplicada a cultivos, semilla y genética</t>
        </is>
      </c>
      <c r="D22" s="7" t="inlineStr">
        <is>
          <t>C. Bioeconomía y valor agregado</t>
        </is>
      </c>
      <c r="E22" s="7" t="inlineStr">
        <is>
          <t>COS</t>
        </is>
      </c>
      <c r="F22" s="8" t="inlineStr">
        <is>
          <t>Costa Araucanía</t>
        </is>
      </c>
      <c r="G22" s="8" t="inlineStr">
        <is>
          <t>Carahue, Nueva Imperial, Saavedra, Teodoro Schmidt, Toltén</t>
        </is>
      </c>
      <c r="H22" s="7" t="inlineStr">
        <is>
          <t>L2</t>
        </is>
      </c>
      <c r="I22" s="8" t="inlineStr">
        <is>
          <t>Biotecnología</t>
        </is>
      </c>
      <c r="J22" s="8" t="inlineStr">
        <is>
          <t>Biotecnología aplicada a cultivos, semilla y genética — Territorio Costa Araucanía</t>
        </is>
      </c>
      <c r="K22" s="7" t="inlineStr">
        <is>
          <t>2. Ficha Técnica Completa</t>
        </is>
      </c>
      <c r="L22" s="7" t="inlineStr">
        <is>
          <t>2 - Evidencia parcial</t>
        </is>
      </c>
      <c r="M22" s="9" t="n">
        <v>650</v>
      </c>
      <c r="N22" s="8" t="inlineStr">
        <is>
          <t>Centros Regionales (CGNA), IES Acreditadas (UFRO / UCT)</t>
        </is>
      </c>
      <c r="O22" s="8" t="inlineStr">
        <is>
          <t>Por Asignar DIFOI</t>
        </is>
      </c>
      <c r="P22" s="8" t="inlineStr">
        <is>
          <t>Capacidad instalada en Temuco poco usada por el resto: BIOREN, CGNA (Centro Regional ANID), INIA Carillanca.</t>
        </is>
      </c>
      <c r="Q22" s="8" t="inlineStr">
        <is>
          <t>Desarrollo experimental y transferencia en proteína vegetal, papa-semilla, cultivo de tejidos, mejoramiento genético ganadero y propagación de nativas.</t>
        </is>
      </c>
      <c r="R22" s="8" t="inlineStr">
        <is>
          <t>3c, 3d, vi, i, ii</t>
        </is>
      </c>
      <c r="S22" s="7" t="inlineStr">
        <is>
          <t>2026-10-02</t>
        </is>
      </c>
    </row>
    <row r="23">
      <c r="A23" s="4" t="inlineStr">
        <is>
          <t>FRPD-19</t>
        </is>
      </c>
      <c r="B23" s="4" t="inlineStr">
        <is>
          <t>L-09</t>
        </is>
      </c>
      <c r="C23" s="5" t="inlineStr">
        <is>
          <t>Biotecnología aplicada a cultivos, semilla y genética</t>
        </is>
      </c>
      <c r="D23" s="4" t="inlineStr">
        <is>
          <t>C. Bioeconomía y valor agregado</t>
        </is>
      </c>
      <c r="E23" s="4" t="inlineStr">
        <is>
          <t>NAH</t>
        </is>
      </c>
      <c r="F23" s="5" t="inlineStr">
        <is>
          <t>Nahuelbuta</t>
        </is>
      </c>
      <c r="G23" s="5" t="inlineStr">
        <is>
          <t>Purén, Los Sauces, Traiguén, Lumaco, Galvarino, Cholchol</t>
        </is>
      </c>
      <c r="H23" s="4" t="inlineStr">
        <is>
          <t>L2</t>
        </is>
      </c>
      <c r="I23" s="5" t="inlineStr">
        <is>
          <t>Biotecnología</t>
        </is>
      </c>
      <c r="J23" s="5" t="inlineStr">
        <is>
          <t>Biotecnología aplicada a cultivos, semilla y genética — Territorio Nahuelbuta</t>
        </is>
      </c>
      <c r="K23" s="4" t="inlineStr">
        <is>
          <t>1. En Formulación</t>
        </is>
      </c>
      <c r="L23" s="4" t="inlineStr">
        <is>
          <t>1 - Por levantar</t>
        </is>
      </c>
      <c r="M23" s="6" t="n">
        <v>350</v>
      </c>
      <c r="N23" s="5" t="inlineStr">
        <is>
          <t>Centros Regionales (CGNA), IES Acreditadas (UFRO / UCT)</t>
        </is>
      </c>
      <c r="O23" s="5" t="inlineStr">
        <is>
          <t>Por Asignar DIFOI</t>
        </is>
      </c>
      <c r="P23" s="5" t="inlineStr">
        <is>
          <t>Capacidad instalada en Temuco poco usada por el resto: BIOREN, CGNA (Centro Regional ANID), INIA Carillanca.</t>
        </is>
      </c>
      <c r="Q23" s="5" t="inlineStr">
        <is>
          <t>Desarrollo experimental y transferencia en proteína vegetal, papa-semilla, cultivo de tejidos, mejoramiento genético ganadero y propagación de nativas.</t>
        </is>
      </c>
      <c r="R23" s="5" t="inlineStr">
        <is>
          <t>3c, 3d, vi, i, ii</t>
        </is>
      </c>
      <c r="S23" s="4" t="inlineStr">
        <is>
          <t>2026-10-02</t>
        </is>
      </c>
    </row>
    <row r="24">
      <c r="A24" s="7" t="inlineStr">
        <is>
          <t>FRPD-20</t>
        </is>
      </c>
      <c r="B24" s="7" t="inlineStr">
        <is>
          <t>L-10</t>
        </is>
      </c>
      <c r="C24" s="8" t="inlineStr">
        <is>
          <t>Alimentos con identidad territorial</t>
        </is>
      </c>
      <c r="D24" s="7" t="inlineStr">
        <is>
          <t>C. Bioeconomía y valor agregado</t>
        </is>
      </c>
      <c r="E24" s="7" t="inlineStr">
        <is>
          <t>AND</t>
        </is>
      </c>
      <c r="F24" s="8" t="inlineStr">
        <is>
          <t>Araucanía Andina</t>
        </is>
      </c>
      <c r="G24" s="8" t="inlineStr">
        <is>
          <t>Victoria, Lonquimay, Curacautín, Melipeuco, Vilcún, Cunco</t>
        </is>
      </c>
      <c r="H24" s="7" t="inlineStr">
        <is>
          <t>L3</t>
        </is>
      </c>
      <c r="I24" s="8" t="inlineStr">
        <is>
          <t>Alimentación</t>
        </is>
      </c>
      <c r="J24" s="8" t="inlineStr">
        <is>
          <t>Alimentos con identidad territorial — Territorio Araucanía Andina</t>
        </is>
      </c>
      <c r="K24" s="7" t="inlineStr">
        <is>
          <t>2. Ficha Técnica Completa</t>
        </is>
      </c>
      <c r="L24" s="7" t="inlineStr">
        <is>
          <t>2 - Evidencia parcial</t>
        </is>
      </c>
      <c r="M24" s="9" t="n">
        <v>650</v>
      </c>
      <c r="N24" s="8" t="inlineStr">
        <is>
          <t>INIA Carillanca, Cooperativas Agrícolas, Empresas Sociales</t>
        </is>
      </c>
      <c r="O24" s="8" t="inlineStr">
        <is>
          <t>Por Asignar DIFOI</t>
        </is>
      </c>
      <c r="P24" s="8" t="inlineStr">
        <is>
          <t>Tres territorios con vocación oficial en esta línea y sin capacidad científica dedicada; es el puente para financiar el LER 1 vía innovación social (3b.ii).</t>
        </is>
      </c>
      <c r="Q24" s="8" t="inlineStr">
        <is>
          <t>Valor agregado y diferenciación para productos con identidad de origen: montaña, gastronomía, legumbres, cereales y bebidas.</t>
        </is>
      </c>
      <c r="R24" s="8" t="inlineStr">
        <is>
          <t>3c, 3d, 3b.ii</t>
        </is>
      </c>
      <c r="S24" s="7" t="inlineStr">
        <is>
          <t>2026-10-02</t>
        </is>
      </c>
    </row>
    <row r="25">
      <c r="A25" s="4" t="inlineStr">
        <is>
          <t>FRPD-21</t>
        </is>
      </c>
      <c r="B25" s="4" t="inlineStr">
        <is>
          <t>L-10</t>
        </is>
      </c>
      <c r="C25" s="5" t="inlineStr">
        <is>
          <t>Alimentos con identidad territorial</t>
        </is>
      </c>
      <c r="D25" s="4" t="inlineStr">
        <is>
          <t>C. Bioeconomía y valor agregado</t>
        </is>
      </c>
      <c r="E25" s="4" t="inlineStr">
        <is>
          <t>LAC</t>
        </is>
      </c>
      <c r="F25" s="5" t="inlineStr">
        <is>
          <t>Araucanía Lacustre</t>
        </is>
      </c>
      <c r="G25" s="5" t="inlineStr">
        <is>
          <t>Villarrica, Pucón, Curarrehue</t>
        </is>
      </c>
      <c r="H25" s="4" t="inlineStr">
        <is>
          <t>L3</t>
        </is>
      </c>
      <c r="I25" s="5" t="inlineStr">
        <is>
          <t>Alimentación</t>
        </is>
      </c>
      <c r="J25" s="5" t="inlineStr">
        <is>
          <t>Alimentos con identidad territorial — Territorio Araucanía Lacustre</t>
        </is>
      </c>
      <c r="K25" s="4" t="inlineStr">
        <is>
          <t>2. Ficha Técnica Completa</t>
        </is>
      </c>
      <c r="L25" s="4" t="inlineStr">
        <is>
          <t>2 - Evidencia parcial</t>
        </is>
      </c>
      <c r="M25" s="6" t="n">
        <v>650</v>
      </c>
      <c r="N25" s="5" t="inlineStr">
        <is>
          <t>INIA Carillanca, Cooperativas Agrícolas, Empresas Sociales</t>
        </is>
      </c>
      <c r="O25" s="5" t="inlineStr">
        <is>
          <t>Por Asignar DIFOI</t>
        </is>
      </c>
      <c r="P25" s="5" t="inlineStr">
        <is>
          <t>Tres territorios con vocación oficial en esta línea y sin capacidad científica dedicada; es el puente para financiar el LER 1 vía innovación social (3b.ii).</t>
        </is>
      </c>
      <c r="Q25" s="5" t="inlineStr">
        <is>
          <t>Valor agregado y diferenciación para productos con identidad de origen: montaña, gastronomía, legumbres, cereales y bebidas.</t>
        </is>
      </c>
      <c r="R25" s="5" t="inlineStr">
        <is>
          <t>3c, 3d, 3b.ii</t>
        </is>
      </c>
      <c r="S25" s="4" t="inlineStr">
        <is>
          <t>2026-10-02</t>
        </is>
      </c>
    </row>
    <row r="26">
      <c r="A26" s="7" t="inlineStr">
        <is>
          <t>FRPD-22</t>
        </is>
      </c>
      <c r="B26" s="7" t="inlineStr">
        <is>
          <t>L-10</t>
        </is>
      </c>
      <c r="C26" s="8" t="inlineStr">
        <is>
          <t>Alimentos con identidad territorial</t>
        </is>
      </c>
      <c r="D26" s="7" t="inlineStr">
        <is>
          <t>C. Bioeconomía y valor agregado</t>
        </is>
      </c>
      <c r="E26" s="7" t="inlineStr">
        <is>
          <t>NAH</t>
        </is>
      </c>
      <c r="F26" s="8" t="inlineStr">
        <is>
          <t>Nahuelbuta</t>
        </is>
      </c>
      <c r="G26" s="8" t="inlineStr">
        <is>
          <t>Purén, Los Sauces, Traiguén, Lumaco, Galvarino, Cholchol</t>
        </is>
      </c>
      <c r="H26" s="7" t="inlineStr">
        <is>
          <t>L3</t>
        </is>
      </c>
      <c r="I26" s="8" t="inlineStr">
        <is>
          <t>Alimentación</t>
        </is>
      </c>
      <c r="J26" s="8" t="inlineStr">
        <is>
          <t>Alimentos con identidad territorial — Territorio Nahuelbuta</t>
        </is>
      </c>
      <c r="K26" s="7" t="inlineStr">
        <is>
          <t>2. Ficha Técnica Completa</t>
        </is>
      </c>
      <c r="L26" s="7" t="inlineStr">
        <is>
          <t>2 - Evidencia parcial</t>
        </is>
      </c>
      <c r="M26" s="9" t="n">
        <v>650</v>
      </c>
      <c r="N26" s="8" t="inlineStr">
        <is>
          <t>INIA Carillanca, Cooperativas Agrícolas, Empresas Sociales</t>
        </is>
      </c>
      <c r="O26" s="8" t="inlineStr">
        <is>
          <t>Por Asignar DIFOI</t>
        </is>
      </c>
      <c r="P26" s="8" t="inlineStr">
        <is>
          <t>Tres territorios con vocación oficial en esta línea y sin capacidad científica dedicada; es el puente para financiar el LER 1 vía innovación social (3b.ii).</t>
        </is>
      </c>
      <c r="Q26" s="8" t="inlineStr">
        <is>
          <t>Valor agregado y diferenciación para productos con identidad de origen: montaña, gastronomía, legumbres, cereales y bebidas.</t>
        </is>
      </c>
      <c r="R26" s="8" t="inlineStr">
        <is>
          <t>3c, 3d, 3b.ii</t>
        </is>
      </c>
      <c r="S26" s="7" t="inlineStr">
        <is>
          <t>2026-10-02</t>
        </is>
      </c>
    </row>
    <row r="27">
      <c r="A27" s="4" t="inlineStr">
        <is>
          <t>FRPD-23</t>
        </is>
      </c>
      <c r="B27" s="4" t="inlineStr">
        <is>
          <t>L-11</t>
        </is>
      </c>
      <c r="C27" s="5" t="inlineStr">
        <is>
          <t>Valorización de residuos y subproductos</t>
        </is>
      </c>
      <c r="D27" s="4" t="inlineStr">
        <is>
          <t>C. Bioeconomía y valor agregado</t>
        </is>
      </c>
      <c r="E27" s="4" t="inlineStr">
        <is>
          <t>NAH</t>
        </is>
      </c>
      <c r="F27" s="5" t="inlineStr">
        <is>
          <t>Nahuelbuta</t>
        </is>
      </c>
      <c r="G27" s="5" t="inlineStr">
        <is>
          <t>Purén, Los Sauces, Traiguén, Lumaco, Galvarino, Cholchol</t>
        </is>
      </c>
      <c r="H27" s="4" t="inlineStr">
        <is>
          <t>L5</t>
        </is>
      </c>
      <c r="I27" s="5" t="inlineStr">
        <is>
          <t>Economía circular</t>
        </is>
      </c>
      <c r="J27" s="5" t="inlineStr">
        <is>
          <t>Valorización de residuos y subproductos — Territorio Nahuelbuta</t>
        </is>
      </c>
      <c r="K27" s="4" t="inlineStr">
        <is>
          <t>3. En Evaluación Ex-Ante</t>
        </is>
      </c>
      <c r="L27" s="4" t="inlineStr">
        <is>
          <t>3 - Evidencia levantada / Contraparte identificada</t>
        </is>
      </c>
      <c r="M27" s="6" t="n">
        <v>950</v>
      </c>
      <c r="N27" s="5" t="inlineStr">
        <is>
          <t>INIA Carillanca, Cooperativas Agrícolas, Empresas Sociales</t>
        </is>
      </c>
      <c r="O27" s="5" t="inlineStr">
        <is>
          <t>Por Asignar DIFOI</t>
        </is>
      </c>
      <c r="P27" s="5" t="inlineStr">
        <is>
          <t>Presente en los ocho territorios; la oportunidad está identificada, pero falta caracterizar volumen y tipo de residuo.</t>
        </is>
      </c>
      <c r="Q27" s="5" t="inlineStr">
        <is>
          <t>Desarrollo experimental para transformar residuos y descartes en producto (biomasa forestal, avellana, descarte frutícola, cereales, pesca) e innovación pública en residuos.</t>
        </is>
      </c>
      <c r="R27" s="5" t="inlineStr">
        <is>
          <t>3c, 3a, 2h</t>
        </is>
      </c>
      <c r="S27" s="4" t="inlineStr">
        <is>
          <t>2026-10-02</t>
        </is>
      </c>
    </row>
    <row r="28">
      <c r="A28" s="7" t="inlineStr">
        <is>
          <t>FRPD-24</t>
        </is>
      </c>
      <c r="B28" s="7" t="inlineStr">
        <is>
          <t>L-11</t>
        </is>
      </c>
      <c r="C28" s="8" t="inlineStr">
        <is>
          <t>Valorización de residuos y subproductos</t>
        </is>
      </c>
      <c r="D28" s="7" t="inlineStr">
        <is>
          <t>C. Bioeconomía y valor agregado</t>
        </is>
      </c>
      <c r="E28" s="7" t="inlineStr">
        <is>
          <t>CSU</t>
        </is>
      </c>
      <c r="F28" s="8" t="inlineStr">
        <is>
          <t>Cautín Sur</t>
        </is>
      </c>
      <c r="G28" s="8" t="inlineStr">
        <is>
          <t>Freire, Pitrufquén, Gorbea, Loncoche</t>
        </is>
      </c>
      <c r="H28" s="7" t="inlineStr">
        <is>
          <t>L5</t>
        </is>
      </c>
      <c r="I28" s="8" t="inlineStr">
        <is>
          <t>Economía circular</t>
        </is>
      </c>
      <c r="J28" s="8" t="inlineStr">
        <is>
          <t>Valorización de residuos y subproductos — Territorio Cautín Sur</t>
        </is>
      </c>
      <c r="K28" s="7" t="inlineStr">
        <is>
          <t>3. En Evaluación Ex-Ante</t>
        </is>
      </c>
      <c r="L28" s="7" t="inlineStr">
        <is>
          <t>3 - Evidencia levantada / Contraparte identificada</t>
        </is>
      </c>
      <c r="M28" s="9" t="n">
        <v>950</v>
      </c>
      <c r="N28" s="8" t="inlineStr">
        <is>
          <t>INIA Carillanca, Cooperativas Agrícolas, Empresas Sociales</t>
        </is>
      </c>
      <c r="O28" s="8" t="inlineStr">
        <is>
          <t>Por Asignar DIFOI</t>
        </is>
      </c>
      <c r="P28" s="8" t="inlineStr">
        <is>
          <t>Presente en los ocho territorios; la oportunidad está identificada, pero falta caracterizar volumen y tipo de residuo.</t>
        </is>
      </c>
      <c r="Q28" s="8" t="inlineStr">
        <is>
          <t>Desarrollo experimental para transformar residuos y descartes en producto (biomasa forestal, avellana, descarte frutícola, cereales, pesca) e innovación pública en residuos.</t>
        </is>
      </c>
      <c r="R28" s="8" t="inlineStr">
        <is>
          <t>3c, 3a, 2h</t>
        </is>
      </c>
      <c r="S28" s="7" t="inlineStr">
        <is>
          <t>2026-10-02</t>
        </is>
      </c>
    </row>
    <row r="29">
      <c r="A29" s="4" t="inlineStr">
        <is>
          <t>FRPD-25</t>
        </is>
      </c>
      <c r="B29" s="4" t="inlineStr">
        <is>
          <t>L-11</t>
        </is>
      </c>
      <c r="C29" s="5" t="inlineStr">
        <is>
          <t>Valorización de residuos y subproductos</t>
        </is>
      </c>
      <c r="D29" s="4" t="inlineStr">
        <is>
          <t>C. Bioeconomía y valor agregado</t>
        </is>
      </c>
      <c r="E29" s="4" t="inlineStr">
        <is>
          <t>MNO</t>
        </is>
      </c>
      <c r="F29" s="5" t="inlineStr">
        <is>
          <t>Malleco Norte</t>
        </is>
      </c>
      <c r="G29" s="5" t="inlineStr">
        <is>
          <t>Angol, Renaico, Collipulli, Ercilla</t>
        </is>
      </c>
      <c r="H29" s="4" t="inlineStr">
        <is>
          <t>L5</t>
        </is>
      </c>
      <c r="I29" s="5" t="inlineStr">
        <is>
          <t>Economía circular</t>
        </is>
      </c>
      <c r="J29" s="5" t="inlineStr">
        <is>
          <t>Valorización de residuos y subproductos — Territorio Malleco Norte</t>
        </is>
      </c>
      <c r="K29" s="4" t="inlineStr">
        <is>
          <t>2. Ficha Técnica Completa</t>
        </is>
      </c>
      <c r="L29" s="4" t="inlineStr">
        <is>
          <t>2 - Evidencia parcial</t>
        </is>
      </c>
      <c r="M29" s="6" t="n">
        <v>650</v>
      </c>
      <c r="N29" s="5" t="inlineStr">
        <is>
          <t>INIA Carillanca, Cooperativas Agrícolas, Empresas Sociales</t>
        </is>
      </c>
      <c r="O29" s="5" t="inlineStr">
        <is>
          <t>Por Asignar DIFOI</t>
        </is>
      </c>
      <c r="P29" s="5" t="inlineStr">
        <is>
          <t>Presente en los ocho territorios; la oportunidad está identificada, pero falta caracterizar volumen y tipo de residuo.</t>
        </is>
      </c>
      <c r="Q29" s="5" t="inlineStr">
        <is>
          <t>Desarrollo experimental para transformar residuos y descartes en producto (biomasa forestal, avellana, descarte frutícola, cereales, pesca) e innovación pública en residuos.</t>
        </is>
      </c>
      <c r="R29" s="5" t="inlineStr">
        <is>
          <t>3c, 3a, 2h</t>
        </is>
      </c>
      <c r="S29" s="4" t="inlineStr">
        <is>
          <t>2026-10-02</t>
        </is>
      </c>
    </row>
    <row r="30">
      <c r="A30" s="7" t="inlineStr">
        <is>
          <t>FRPD-26</t>
        </is>
      </c>
      <c r="B30" s="7" t="inlineStr">
        <is>
          <t>L-11</t>
        </is>
      </c>
      <c r="C30" s="8" t="inlineStr">
        <is>
          <t>Valorización de residuos y subproductos</t>
        </is>
      </c>
      <c r="D30" s="7" t="inlineStr">
        <is>
          <t>C. Bioeconomía y valor agregado</t>
        </is>
      </c>
      <c r="E30" s="7" t="inlineStr">
        <is>
          <t>TPLC</t>
        </is>
      </c>
      <c r="F30" s="8" t="inlineStr">
        <is>
          <t>Temuco – Padre Las Casas</t>
        </is>
      </c>
      <c r="G30" s="8" t="inlineStr">
        <is>
          <t>Temuco, Padre Las Casas</t>
        </is>
      </c>
      <c r="H30" s="7" t="inlineStr">
        <is>
          <t>L5</t>
        </is>
      </c>
      <c r="I30" s="8" t="inlineStr">
        <is>
          <t>Economía circular</t>
        </is>
      </c>
      <c r="J30" s="8" t="inlineStr">
        <is>
          <t>Valorización de residuos y subproductos — Territorio Temuco – Padre Las Casas</t>
        </is>
      </c>
      <c r="K30" s="7" t="inlineStr">
        <is>
          <t>2. Ficha Técnica Completa</t>
        </is>
      </c>
      <c r="L30" s="7" t="inlineStr">
        <is>
          <t>2 - Evidencia parcial</t>
        </is>
      </c>
      <c r="M30" s="9" t="n">
        <v>650</v>
      </c>
      <c r="N30" s="8" t="inlineStr">
        <is>
          <t>INIA Carillanca, Cooperativas Agrícolas, Empresas Sociales</t>
        </is>
      </c>
      <c r="O30" s="8" t="inlineStr">
        <is>
          <t>Por Asignar DIFOI</t>
        </is>
      </c>
      <c r="P30" s="8" t="inlineStr">
        <is>
          <t>Presente en los ocho territorios; la oportunidad está identificada, pero falta caracterizar volumen y tipo de residuo.</t>
        </is>
      </c>
      <c r="Q30" s="8" t="inlineStr">
        <is>
          <t>Desarrollo experimental para transformar residuos y descartes en producto (biomasa forestal, avellana, descarte frutícola, cereales, pesca) e innovación pública en residuos.</t>
        </is>
      </c>
      <c r="R30" s="8" t="inlineStr">
        <is>
          <t>3c, 3a, 2h</t>
        </is>
      </c>
      <c r="S30" s="7" t="inlineStr">
        <is>
          <t>2026-10-02</t>
        </is>
      </c>
    </row>
    <row r="31">
      <c r="A31" s="4" t="inlineStr">
        <is>
          <t>FRPD-27</t>
        </is>
      </c>
      <c r="B31" s="4" t="inlineStr">
        <is>
          <t>L-11</t>
        </is>
      </c>
      <c r="C31" s="5" t="inlineStr">
        <is>
          <t>Valorización de residuos y subproductos</t>
        </is>
      </c>
      <c r="D31" s="4" t="inlineStr">
        <is>
          <t>C. Bioeconomía y valor agregado</t>
        </is>
      </c>
      <c r="E31" s="4" t="inlineStr">
        <is>
          <t>VCE</t>
        </is>
      </c>
      <c r="F31" s="5" t="inlineStr">
        <is>
          <t>Valle Central</t>
        </is>
      </c>
      <c r="G31" s="5" t="inlineStr">
        <is>
          <t>Lautaro, Perquenco</t>
        </is>
      </c>
      <c r="H31" s="4" t="inlineStr">
        <is>
          <t>L5</t>
        </is>
      </c>
      <c r="I31" s="5" t="inlineStr">
        <is>
          <t>Economía circular</t>
        </is>
      </c>
      <c r="J31" s="5" t="inlineStr">
        <is>
          <t>Valorización de residuos y subproductos — Territorio Valle Central</t>
        </is>
      </c>
      <c r="K31" s="4" t="inlineStr">
        <is>
          <t>2. Ficha Técnica Completa</t>
        </is>
      </c>
      <c r="L31" s="4" t="inlineStr">
        <is>
          <t>2 - Evidencia parcial</t>
        </is>
      </c>
      <c r="M31" s="6" t="n">
        <v>650</v>
      </c>
      <c r="N31" s="5" t="inlineStr">
        <is>
          <t>INIA Carillanca, Cooperativas Agrícolas, Empresas Sociales</t>
        </is>
      </c>
      <c r="O31" s="5" t="inlineStr">
        <is>
          <t>Por Asignar DIFOI</t>
        </is>
      </c>
      <c r="P31" s="5" t="inlineStr">
        <is>
          <t>Presente en los ocho territorios; la oportunidad está identificada, pero falta caracterizar volumen y tipo de residuo.</t>
        </is>
      </c>
      <c r="Q31" s="5" t="inlineStr">
        <is>
          <t>Desarrollo experimental para transformar residuos y descartes en producto (biomasa forestal, avellana, descarte frutícola, cereales, pesca) e innovación pública en residuos.</t>
        </is>
      </c>
      <c r="R31" s="5" t="inlineStr">
        <is>
          <t>3c, 3a, 2h</t>
        </is>
      </c>
      <c r="S31" s="4" t="inlineStr">
        <is>
          <t>2026-10-02</t>
        </is>
      </c>
    </row>
    <row r="32">
      <c r="A32" s="7" t="inlineStr">
        <is>
          <t>FRPD-28</t>
        </is>
      </c>
      <c r="B32" s="7" t="inlineStr">
        <is>
          <t>L-11</t>
        </is>
      </c>
      <c r="C32" s="8" t="inlineStr">
        <is>
          <t>Valorización de residuos y subproductos</t>
        </is>
      </c>
      <c r="D32" s="7" t="inlineStr">
        <is>
          <t>C. Bioeconomía y valor agregado</t>
        </is>
      </c>
      <c r="E32" s="7" t="inlineStr">
        <is>
          <t>COS</t>
        </is>
      </c>
      <c r="F32" s="8" t="inlineStr">
        <is>
          <t>Costa Araucanía</t>
        </is>
      </c>
      <c r="G32" s="8" t="inlineStr">
        <is>
          <t>Carahue, Nueva Imperial, Saavedra, Teodoro Schmidt, Toltén</t>
        </is>
      </c>
      <c r="H32" s="7" t="inlineStr">
        <is>
          <t>L5</t>
        </is>
      </c>
      <c r="I32" s="8" t="inlineStr">
        <is>
          <t>Economía circular</t>
        </is>
      </c>
      <c r="J32" s="8" t="inlineStr">
        <is>
          <t>Valorización de residuos y subproductos — Territorio Costa Araucanía</t>
        </is>
      </c>
      <c r="K32" s="7" t="inlineStr">
        <is>
          <t>2. Ficha Técnica Completa</t>
        </is>
      </c>
      <c r="L32" s="7" t="inlineStr">
        <is>
          <t>2 - Evidencia parcial</t>
        </is>
      </c>
      <c r="M32" s="9" t="n">
        <v>650</v>
      </c>
      <c r="N32" s="8" t="inlineStr">
        <is>
          <t>INIA Carillanca, Cooperativas Agrícolas, Empresas Sociales</t>
        </is>
      </c>
      <c r="O32" s="8" t="inlineStr">
        <is>
          <t>Por Asignar DIFOI</t>
        </is>
      </c>
      <c r="P32" s="8" t="inlineStr">
        <is>
          <t>Presente en los ocho territorios; la oportunidad está identificada, pero falta caracterizar volumen y tipo de residuo.</t>
        </is>
      </c>
      <c r="Q32" s="8" t="inlineStr">
        <is>
          <t>Desarrollo experimental para transformar residuos y descartes en producto (biomasa forestal, avellana, descarte frutícola, cereales, pesca) e innovación pública en residuos.</t>
        </is>
      </c>
      <c r="R32" s="8" t="inlineStr">
        <is>
          <t>3c, 3a, 2h</t>
        </is>
      </c>
      <c r="S32" s="7" t="inlineStr">
        <is>
          <t>2026-10-02</t>
        </is>
      </c>
    </row>
    <row r="33">
      <c r="A33" s="4" t="inlineStr">
        <is>
          <t>FRPD-29</t>
        </is>
      </c>
      <c r="B33" s="4" t="inlineStr">
        <is>
          <t>L-11</t>
        </is>
      </c>
      <c r="C33" s="5" t="inlineStr">
        <is>
          <t>Valorización de residuos y subproductos</t>
        </is>
      </c>
      <c r="D33" s="4" t="inlineStr">
        <is>
          <t>C. Bioeconomía y valor agregado</t>
        </is>
      </c>
      <c r="E33" s="4" t="inlineStr">
        <is>
          <t>AND</t>
        </is>
      </c>
      <c r="F33" s="5" t="inlineStr">
        <is>
          <t>Araucanía Andina</t>
        </is>
      </c>
      <c r="G33" s="5" t="inlineStr">
        <is>
          <t>Victoria, Lonquimay, Curacautín, Melipeuco, Vilcún, Cunco</t>
        </is>
      </c>
      <c r="H33" s="4" t="inlineStr">
        <is>
          <t>L5</t>
        </is>
      </c>
      <c r="I33" s="5" t="inlineStr">
        <is>
          <t>Economía circular</t>
        </is>
      </c>
      <c r="J33" s="5" t="inlineStr">
        <is>
          <t>Valorización de residuos y subproductos — Territorio Araucanía Andina</t>
        </is>
      </c>
      <c r="K33" s="4" t="inlineStr">
        <is>
          <t>1. En Formulación</t>
        </is>
      </c>
      <c r="L33" s="4" t="inlineStr">
        <is>
          <t>1 - Por levantar</t>
        </is>
      </c>
      <c r="M33" s="6" t="n">
        <v>350</v>
      </c>
      <c r="N33" s="5" t="inlineStr">
        <is>
          <t>INIA Carillanca, Cooperativas Agrícolas, Empresas Sociales</t>
        </is>
      </c>
      <c r="O33" s="5" t="inlineStr">
        <is>
          <t>Por Asignar DIFOI</t>
        </is>
      </c>
      <c r="P33" s="5" t="inlineStr">
        <is>
          <t>Presente en los ocho territorios; la oportunidad está identificada, pero falta caracterizar volumen y tipo de residuo.</t>
        </is>
      </c>
      <c r="Q33" s="5" t="inlineStr">
        <is>
          <t>Desarrollo experimental para transformar residuos y descartes en producto (biomasa forestal, avellana, descarte frutícola, cereales, pesca) e innovación pública en residuos.</t>
        </is>
      </c>
      <c r="R33" s="5" t="inlineStr">
        <is>
          <t>3c, 3a, 2h</t>
        </is>
      </c>
      <c r="S33" s="4" t="inlineStr">
        <is>
          <t>2026-10-02</t>
        </is>
      </c>
    </row>
    <row r="34">
      <c r="A34" s="7" t="inlineStr">
        <is>
          <t>FRPD-30</t>
        </is>
      </c>
      <c r="B34" s="7" t="inlineStr">
        <is>
          <t>L-11</t>
        </is>
      </c>
      <c r="C34" s="8" t="inlineStr">
        <is>
          <t>Valorización de residuos y subproductos</t>
        </is>
      </c>
      <c r="D34" s="7" t="inlineStr">
        <is>
          <t>C. Bioeconomía y valor agregado</t>
        </is>
      </c>
      <c r="E34" s="7" t="inlineStr">
        <is>
          <t>LAC</t>
        </is>
      </c>
      <c r="F34" s="8" t="inlineStr">
        <is>
          <t>Araucanía Lacustre</t>
        </is>
      </c>
      <c r="G34" s="8" t="inlineStr">
        <is>
          <t>Villarrica, Pucón, Curarrehue</t>
        </is>
      </c>
      <c r="H34" s="7" t="inlineStr">
        <is>
          <t>L5</t>
        </is>
      </c>
      <c r="I34" s="8" t="inlineStr">
        <is>
          <t>Economía circular</t>
        </is>
      </c>
      <c r="J34" s="8" t="inlineStr">
        <is>
          <t>Valorización de residuos y subproductos — Territorio Araucanía Lacustre</t>
        </is>
      </c>
      <c r="K34" s="7" t="inlineStr">
        <is>
          <t>1. En Formulación</t>
        </is>
      </c>
      <c r="L34" s="7" t="inlineStr">
        <is>
          <t>1 - Por levantar</t>
        </is>
      </c>
      <c r="M34" s="9" t="n">
        <v>350</v>
      </c>
      <c r="N34" s="8" t="inlineStr">
        <is>
          <t>INIA Carillanca, Cooperativas Agrícolas, Empresas Sociales</t>
        </is>
      </c>
      <c r="O34" s="8" t="inlineStr">
        <is>
          <t>Por Asignar DIFOI</t>
        </is>
      </c>
      <c r="P34" s="8" t="inlineStr">
        <is>
          <t>Presente en los ocho territorios; la oportunidad está identificada, pero falta caracterizar volumen y tipo de residuo.</t>
        </is>
      </c>
      <c r="Q34" s="8" t="inlineStr">
        <is>
          <t>Desarrollo experimental para transformar residuos y descartes en producto (biomasa forestal, avellana, descarte frutícola, cereales, pesca) e innovación pública en residuos.</t>
        </is>
      </c>
      <c r="R34" s="8" t="inlineStr">
        <is>
          <t>3c, 3a, 2h</t>
        </is>
      </c>
      <c r="S34" s="7" t="inlineStr">
        <is>
          <t>2026-10-02</t>
        </is>
      </c>
    </row>
    <row r="35">
      <c r="A35" s="4" t="inlineStr">
        <is>
          <t>FRPD-31</t>
        </is>
      </c>
      <c r="B35" s="4" t="inlineStr">
        <is>
          <t>L-12</t>
        </is>
      </c>
      <c r="C35" s="5" t="inlineStr">
        <is>
          <t>Transición energética con captura de valor local</t>
        </is>
      </c>
      <c r="D35" s="4" t="inlineStr">
        <is>
          <t>D. Energía, conectividad y digitalización</t>
        </is>
      </c>
      <c r="E35" s="4" t="inlineStr">
        <is>
          <t>MNO</t>
        </is>
      </c>
      <c r="F35" s="5" t="inlineStr">
        <is>
          <t>Malleco Norte</t>
        </is>
      </c>
      <c r="G35" s="5" t="inlineStr">
        <is>
          <t>Angol, Renaico, Collipulli, Ercilla</t>
        </is>
      </c>
      <c r="H35" s="4" t="inlineStr">
        <is>
          <t>L4</t>
        </is>
      </c>
      <c r="I35" s="5" t="inlineStr">
        <is>
          <t>Energía</t>
        </is>
      </c>
      <c r="J35" s="5" t="inlineStr">
        <is>
          <t>Transición energética con captura de valor local — Territorio Malleco Norte</t>
        </is>
      </c>
      <c r="K35" s="4" t="inlineStr">
        <is>
          <t>3. En Evaluación Ex-Ante</t>
        </is>
      </c>
      <c r="L35" s="4" t="inlineStr">
        <is>
          <t>3 - Evidencia levantada / Contraparte identificada</t>
        </is>
      </c>
      <c r="M35" s="6" t="n">
        <v>950</v>
      </c>
      <c r="N35" s="5" t="inlineStr">
        <is>
          <t>Agencia de Sostenibilidad Energética, Municipios Malleco/Costa</t>
        </is>
      </c>
      <c r="O35" s="5" t="inlineStr">
        <is>
          <t>Por Asignar DIFOI</t>
        </is>
      </c>
      <c r="P35" s="5" t="inlineStr">
        <is>
          <t>Renaico tiene 9 parques eólicos aprobados (294 aerogeneradores) y 2 solares en evaluación: Malleco Norte soporta la carga ambiental sin capturar el valor.</t>
        </is>
      </c>
      <c r="Q35" s="5" t="inlineStr">
        <is>
          <t>Investigación aplicada y desarrollo experimental para que la generación renovable se traduzca en capacidad productiva local: biomasa, calefacción, biocombustibles sólidos, frío renovable para la pesca.</t>
        </is>
      </c>
      <c r="R35" s="5" t="inlineStr">
        <is>
          <t>3a, 3c, 2d, 2g, 2h</t>
        </is>
      </c>
      <c r="S35" s="4" t="inlineStr">
        <is>
          <t>2026-10-02</t>
        </is>
      </c>
    </row>
    <row r="36">
      <c r="A36" s="7" t="inlineStr">
        <is>
          <t>FRPD-32</t>
        </is>
      </c>
      <c r="B36" s="7" t="inlineStr">
        <is>
          <t>L-12</t>
        </is>
      </c>
      <c r="C36" s="8" t="inlineStr">
        <is>
          <t>Transición energética con captura de valor local</t>
        </is>
      </c>
      <c r="D36" s="7" t="inlineStr">
        <is>
          <t>D. Energía, conectividad y digitalización</t>
        </is>
      </c>
      <c r="E36" s="7" t="inlineStr">
        <is>
          <t>TPLC</t>
        </is>
      </c>
      <c r="F36" s="8" t="inlineStr">
        <is>
          <t>Temuco – Padre Las Casas</t>
        </is>
      </c>
      <c r="G36" s="8" t="inlineStr">
        <is>
          <t>Temuco, Padre Las Casas</t>
        </is>
      </c>
      <c r="H36" s="7" t="inlineStr">
        <is>
          <t>L4</t>
        </is>
      </c>
      <c r="I36" s="8" t="inlineStr">
        <is>
          <t>Energía</t>
        </is>
      </c>
      <c r="J36" s="8" t="inlineStr">
        <is>
          <t>Transición energética con captura de valor local — Territorio Temuco – Padre Las Casas</t>
        </is>
      </c>
      <c r="K36" s="7" t="inlineStr">
        <is>
          <t>2. Ficha Técnica Completa</t>
        </is>
      </c>
      <c r="L36" s="7" t="inlineStr">
        <is>
          <t>2 - Evidencia parcial</t>
        </is>
      </c>
      <c r="M36" s="9" t="n">
        <v>650</v>
      </c>
      <c r="N36" s="8" t="inlineStr">
        <is>
          <t>Agencia de Sostenibilidad Energética, Municipios Malleco/Costa</t>
        </is>
      </c>
      <c r="O36" s="8" t="inlineStr">
        <is>
          <t>Por Asignar DIFOI</t>
        </is>
      </c>
      <c r="P36" s="8" t="inlineStr">
        <is>
          <t>Renaico tiene 9 parques eólicos aprobados (294 aerogeneradores) y 2 solares en evaluación: Malleco Norte soporta la carga ambiental sin capturar el valor.</t>
        </is>
      </c>
      <c r="Q36" s="8" t="inlineStr">
        <is>
          <t>Investigación aplicada y desarrollo experimental para que la generación renovable se traduzca en capacidad productiva local: biomasa, calefacción, biocombustibles sólidos, frío renovable para la pesca.</t>
        </is>
      </c>
      <c r="R36" s="8" t="inlineStr">
        <is>
          <t>3a, 3c, 2d, 2g, 2h</t>
        </is>
      </c>
      <c r="S36" s="7" t="inlineStr">
        <is>
          <t>2026-10-02</t>
        </is>
      </c>
    </row>
    <row r="37">
      <c r="A37" s="4" t="inlineStr">
        <is>
          <t>FRPD-33</t>
        </is>
      </c>
      <c r="B37" s="4" t="inlineStr">
        <is>
          <t>L-12</t>
        </is>
      </c>
      <c r="C37" s="5" t="inlineStr">
        <is>
          <t>Transición energética con captura de valor local</t>
        </is>
      </c>
      <c r="D37" s="4" t="inlineStr">
        <is>
          <t>D. Energía, conectividad y digitalización</t>
        </is>
      </c>
      <c r="E37" s="4" t="inlineStr">
        <is>
          <t>NAH</t>
        </is>
      </c>
      <c r="F37" s="5" t="inlineStr">
        <is>
          <t>Nahuelbuta</t>
        </is>
      </c>
      <c r="G37" s="5" t="inlineStr">
        <is>
          <t>Purén, Los Sauces, Traiguén, Lumaco, Galvarino, Cholchol</t>
        </is>
      </c>
      <c r="H37" s="4" t="inlineStr">
        <is>
          <t>L4</t>
        </is>
      </c>
      <c r="I37" s="5" t="inlineStr">
        <is>
          <t>Energía</t>
        </is>
      </c>
      <c r="J37" s="5" t="inlineStr">
        <is>
          <t>Transición energética con captura de valor local — Territorio Nahuelbuta</t>
        </is>
      </c>
      <c r="K37" s="4" t="inlineStr">
        <is>
          <t>2. Ficha Técnica Completa</t>
        </is>
      </c>
      <c r="L37" s="4" t="inlineStr">
        <is>
          <t>2 - Evidencia parcial</t>
        </is>
      </c>
      <c r="M37" s="6" t="n">
        <v>650</v>
      </c>
      <c r="N37" s="5" t="inlineStr">
        <is>
          <t>Agencia de Sostenibilidad Energética, Municipios Malleco/Costa</t>
        </is>
      </c>
      <c r="O37" s="5" t="inlineStr">
        <is>
          <t>Por Asignar DIFOI</t>
        </is>
      </c>
      <c r="P37" s="5" t="inlineStr">
        <is>
          <t>Renaico tiene 9 parques eólicos aprobados (294 aerogeneradores) y 2 solares en evaluación: Malleco Norte soporta la carga ambiental sin capturar el valor.</t>
        </is>
      </c>
      <c r="Q37" s="5" t="inlineStr">
        <is>
          <t>Investigación aplicada y desarrollo experimental para que la generación renovable se traduzca en capacidad productiva local: biomasa, calefacción, biocombustibles sólidos, frío renovable para la pesca.</t>
        </is>
      </c>
      <c r="R37" s="5" t="inlineStr">
        <is>
          <t>3a, 3c, 2d, 2g, 2h</t>
        </is>
      </c>
      <c r="S37" s="4" t="inlineStr">
        <is>
          <t>2026-10-02</t>
        </is>
      </c>
    </row>
    <row r="38">
      <c r="A38" s="7" t="inlineStr">
        <is>
          <t>FRPD-34</t>
        </is>
      </c>
      <c r="B38" s="7" t="inlineStr">
        <is>
          <t>L-12</t>
        </is>
      </c>
      <c r="C38" s="8" t="inlineStr">
        <is>
          <t>Transición energética con captura de valor local</t>
        </is>
      </c>
      <c r="D38" s="7" t="inlineStr">
        <is>
          <t>D. Energía, conectividad y digitalización</t>
        </is>
      </c>
      <c r="E38" s="7" t="inlineStr">
        <is>
          <t>COS</t>
        </is>
      </c>
      <c r="F38" s="8" t="inlineStr">
        <is>
          <t>Costa Araucanía</t>
        </is>
      </c>
      <c r="G38" s="8" t="inlineStr">
        <is>
          <t>Carahue, Nueva Imperial, Saavedra, Teodoro Schmidt, Toltén</t>
        </is>
      </c>
      <c r="H38" s="7" t="inlineStr">
        <is>
          <t>L4</t>
        </is>
      </c>
      <c r="I38" s="8" t="inlineStr">
        <is>
          <t>Energía</t>
        </is>
      </c>
      <c r="J38" s="8" t="inlineStr">
        <is>
          <t>Transición energética con captura de valor local — Territorio Costa Araucanía</t>
        </is>
      </c>
      <c r="K38" s="7" t="inlineStr">
        <is>
          <t>2. Ficha Técnica Completa</t>
        </is>
      </c>
      <c r="L38" s="7" t="inlineStr">
        <is>
          <t>2 - Evidencia parcial</t>
        </is>
      </c>
      <c r="M38" s="9" t="n">
        <v>650</v>
      </c>
      <c r="N38" s="8" t="inlineStr">
        <is>
          <t>Agencia de Sostenibilidad Energética, Municipios Malleco/Costa</t>
        </is>
      </c>
      <c r="O38" s="8" t="inlineStr">
        <is>
          <t>Por Asignar DIFOI</t>
        </is>
      </c>
      <c r="P38" s="8" t="inlineStr">
        <is>
          <t>Renaico tiene 9 parques eólicos aprobados (294 aerogeneradores) y 2 solares en evaluación: Malleco Norte soporta la carga ambiental sin capturar el valor.</t>
        </is>
      </c>
      <c r="Q38" s="8" t="inlineStr">
        <is>
          <t>Investigación aplicada y desarrollo experimental para que la generación renovable se traduzca en capacidad productiva local: biomasa, calefacción, biocombustibles sólidos, frío renovable para la pesca.</t>
        </is>
      </c>
      <c r="R38" s="8" t="inlineStr">
        <is>
          <t>3a, 3c, 2d, 2g, 2h</t>
        </is>
      </c>
      <c r="S38" s="7" t="inlineStr">
        <is>
          <t>2026-10-02</t>
        </is>
      </c>
    </row>
    <row r="39">
      <c r="A39" s="4" t="inlineStr">
        <is>
          <t>FRPD-35</t>
        </is>
      </c>
      <c r="B39" s="4" t="inlineStr">
        <is>
          <t>L-13</t>
        </is>
      </c>
      <c r="C39" s="5" t="inlineStr">
        <is>
          <t>Digitalización productiva y trazabilidad</t>
        </is>
      </c>
      <c r="D39" s="4" t="inlineStr">
        <is>
          <t>D. Energía, conectividad y digitalización</t>
        </is>
      </c>
      <c r="E39" s="4" t="inlineStr">
        <is>
          <t>COS</t>
        </is>
      </c>
      <c r="F39" s="5" t="inlineStr">
        <is>
          <t>Costa Araucanía</t>
        </is>
      </c>
      <c r="G39" s="5" t="inlineStr">
        <is>
          <t>Carahue, Nueva Imperial, Saavedra, Teodoro Schmidt, Toltén</t>
        </is>
      </c>
      <c r="H39" s="4" t="inlineStr">
        <is>
          <t>L6</t>
        </is>
      </c>
      <c r="I39" s="5" t="inlineStr">
        <is>
          <t>Digitalización</t>
        </is>
      </c>
      <c r="J39" s="5" t="inlineStr">
        <is>
          <t>Digitalización productiva y trazabilidad — Territorio Costa Araucanía</t>
        </is>
      </c>
      <c r="K39" s="4" t="inlineStr">
        <is>
          <t>3. En Evaluación Ex-Ante</t>
        </is>
      </c>
      <c r="L39" s="4" t="inlineStr">
        <is>
          <t>3 - Evidencia levantada / Contraparte identificada</t>
        </is>
      </c>
      <c r="M39" s="6" t="n">
        <v>950</v>
      </c>
      <c r="N39" s="5" t="inlineStr">
        <is>
          <t>Entidades Privadas sin Fines de Lucro habilitadas (Res. 1/2026)</t>
        </is>
      </c>
      <c r="O39" s="5" t="inlineStr">
        <is>
          <t>Por Asignar DIFOI</t>
        </is>
      </c>
      <c r="P39" s="5" t="inlineStr">
        <is>
          <t>Las 993 antenas autorizadas siguen la Ruta 5 y dejan vacíos de cordillera y costa; existe una app agrícola validada en Costa Araucanía.</t>
        </is>
      </c>
      <c r="Q39" s="5" t="inlineStr">
        <is>
          <t>Herramientas digitales aplicadas a la producción: apoyo técnico agrícola, trazabilidad frutícola, digitalización de pymes turísticas, agricultura de precisión.</t>
        </is>
      </c>
      <c r="R39" s="5" t="inlineStr">
        <is>
          <t>2g, 3d</t>
        </is>
      </c>
      <c r="S39" s="4" t="inlineStr">
        <is>
          <t>2026-10-02</t>
        </is>
      </c>
    </row>
    <row r="40">
      <c r="A40" s="7" t="inlineStr">
        <is>
          <t>FRPD-36</t>
        </is>
      </c>
      <c r="B40" s="7" t="inlineStr">
        <is>
          <t>L-13</t>
        </is>
      </c>
      <c r="C40" s="8" t="inlineStr">
        <is>
          <t>Digitalización productiva y trazabilidad</t>
        </is>
      </c>
      <c r="D40" s="7" t="inlineStr">
        <is>
          <t>D. Energía, conectividad y digitalización</t>
        </is>
      </c>
      <c r="E40" s="7" t="inlineStr">
        <is>
          <t>LAC</t>
        </is>
      </c>
      <c r="F40" s="8" t="inlineStr">
        <is>
          <t>Araucanía Lacustre</t>
        </is>
      </c>
      <c r="G40" s="8" t="inlineStr">
        <is>
          <t>Villarrica, Pucón, Curarrehue</t>
        </is>
      </c>
      <c r="H40" s="7" t="inlineStr">
        <is>
          <t>L6</t>
        </is>
      </c>
      <c r="I40" s="8" t="inlineStr">
        <is>
          <t>Digitalización</t>
        </is>
      </c>
      <c r="J40" s="8" t="inlineStr">
        <is>
          <t>Digitalización productiva y trazabilidad — Territorio Araucanía Lacustre</t>
        </is>
      </c>
      <c r="K40" s="7" t="inlineStr">
        <is>
          <t>2. Ficha Técnica Completa</t>
        </is>
      </c>
      <c r="L40" s="7" t="inlineStr">
        <is>
          <t>2 - Evidencia parcial</t>
        </is>
      </c>
      <c r="M40" s="9" t="n">
        <v>650</v>
      </c>
      <c r="N40" s="8" t="inlineStr">
        <is>
          <t>Entidades Privadas sin Fines de Lucro habilitadas (Res. 1/2026)</t>
        </is>
      </c>
      <c r="O40" s="8" t="inlineStr">
        <is>
          <t>Por Asignar DIFOI</t>
        </is>
      </c>
      <c r="P40" s="8" t="inlineStr">
        <is>
          <t>Las 993 antenas autorizadas siguen la Ruta 5 y dejan vacíos de cordillera y costa; existe una app agrícola validada en Costa Araucanía.</t>
        </is>
      </c>
      <c r="Q40" s="8" t="inlineStr">
        <is>
          <t>Herramientas digitales aplicadas a la producción: apoyo técnico agrícola, trazabilidad frutícola, digitalización de pymes turísticas, agricultura de precisión.</t>
        </is>
      </c>
      <c r="R40" s="8" t="inlineStr">
        <is>
          <t>2g, 3d</t>
        </is>
      </c>
      <c r="S40" s="7" t="inlineStr">
        <is>
          <t>2026-10-02</t>
        </is>
      </c>
    </row>
    <row r="41">
      <c r="A41" s="4" t="inlineStr">
        <is>
          <t>FRPD-37</t>
        </is>
      </c>
      <c r="B41" s="4" t="inlineStr">
        <is>
          <t>L-13</t>
        </is>
      </c>
      <c r="C41" s="5" t="inlineStr">
        <is>
          <t>Digitalización productiva y trazabilidad</t>
        </is>
      </c>
      <c r="D41" s="4" t="inlineStr">
        <is>
          <t>D. Energía, conectividad y digitalización</t>
        </is>
      </c>
      <c r="E41" s="4" t="inlineStr">
        <is>
          <t>CSU</t>
        </is>
      </c>
      <c r="F41" s="5" t="inlineStr">
        <is>
          <t>Cautín Sur</t>
        </is>
      </c>
      <c r="G41" s="5" t="inlineStr">
        <is>
          <t>Freire, Pitrufquén, Gorbea, Loncoche</t>
        </is>
      </c>
      <c r="H41" s="4" t="inlineStr">
        <is>
          <t>L6</t>
        </is>
      </c>
      <c r="I41" s="5" t="inlineStr">
        <is>
          <t>Digitalización</t>
        </is>
      </c>
      <c r="J41" s="5" t="inlineStr">
        <is>
          <t>Digitalización productiva y trazabilidad — Territorio Cautín Sur</t>
        </is>
      </c>
      <c r="K41" s="4" t="inlineStr">
        <is>
          <t>2. Ficha Técnica Completa</t>
        </is>
      </c>
      <c r="L41" s="4" t="inlineStr">
        <is>
          <t>2 - Evidencia parcial</t>
        </is>
      </c>
      <c r="M41" s="6" t="n">
        <v>650</v>
      </c>
      <c r="N41" s="5" t="inlineStr">
        <is>
          <t>Entidades Privadas sin Fines de Lucro habilitadas (Res. 1/2026)</t>
        </is>
      </c>
      <c r="O41" s="5" t="inlineStr">
        <is>
          <t>Por Asignar DIFOI</t>
        </is>
      </c>
      <c r="P41" s="5" t="inlineStr">
        <is>
          <t>Las 993 antenas autorizadas siguen la Ruta 5 y dejan vacíos de cordillera y costa; existe una app agrícola validada en Costa Araucanía.</t>
        </is>
      </c>
      <c r="Q41" s="5" t="inlineStr">
        <is>
          <t>Herramientas digitales aplicadas a la producción: apoyo técnico agrícola, trazabilidad frutícola, digitalización de pymes turísticas, agricultura de precisión.</t>
        </is>
      </c>
      <c r="R41" s="5" t="inlineStr">
        <is>
          <t>2g, 3d</t>
        </is>
      </c>
      <c r="S41" s="4" t="inlineStr">
        <is>
          <t>2026-10-02</t>
        </is>
      </c>
    </row>
    <row r="42">
      <c r="A42" s="7" t="inlineStr">
        <is>
          <t>FRPD-38</t>
        </is>
      </c>
      <c r="B42" s="7" t="inlineStr">
        <is>
          <t>L-13</t>
        </is>
      </c>
      <c r="C42" s="8" t="inlineStr">
        <is>
          <t>Digitalización productiva y trazabilidad</t>
        </is>
      </c>
      <c r="D42" s="7" t="inlineStr">
        <is>
          <t>D. Energía, conectividad y digitalización</t>
        </is>
      </c>
      <c r="E42" s="7" t="inlineStr">
        <is>
          <t>AND</t>
        </is>
      </c>
      <c r="F42" s="8" t="inlineStr">
        <is>
          <t>Araucanía Andina</t>
        </is>
      </c>
      <c r="G42" s="8" t="inlineStr">
        <is>
          <t>Victoria, Lonquimay, Curacautín, Melipeuco, Vilcún, Cunco</t>
        </is>
      </c>
      <c r="H42" s="7" t="inlineStr">
        <is>
          <t>L6</t>
        </is>
      </c>
      <c r="I42" s="8" t="inlineStr">
        <is>
          <t>Digitalización</t>
        </is>
      </c>
      <c r="J42" s="8" t="inlineStr">
        <is>
          <t>Digitalización productiva y trazabilidad — Territorio Araucanía Andina</t>
        </is>
      </c>
      <c r="K42" s="7" t="inlineStr">
        <is>
          <t>1. En Formulación</t>
        </is>
      </c>
      <c r="L42" s="7" t="inlineStr">
        <is>
          <t>1 - Por levantar</t>
        </is>
      </c>
      <c r="M42" s="9" t="n">
        <v>350</v>
      </c>
      <c r="N42" s="8" t="inlineStr">
        <is>
          <t>Entidades Privadas sin Fines de Lucro habilitadas (Res. 1/2026)</t>
        </is>
      </c>
      <c r="O42" s="8" t="inlineStr">
        <is>
          <t>Por Asignar DIFOI</t>
        </is>
      </c>
      <c r="P42" s="8" t="inlineStr">
        <is>
          <t>Las 993 antenas autorizadas siguen la Ruta 5 y dejan vacíos de cordillera y costa; existe una app agrícola validada en Costa Araucanía.</t>
        </is>
      </c>
      <c r="Q42" s="8" t="inlineStr">
        <is>
          <t>Herramientas digitales aplicadas a la producción: apoyo técnico agrícola, trazabilidad frutícola, digitalización de pymes turísticas, agricultura de precisión.</t>
        </is>
      </c>
      <c r="R42" s="8" t="inlineStr">
        <is>
          <t>2g, 3d</t>
        </is>
      </c>
      <c r="S42" s="7" t="inlineStr">
        <is>
          <t>2026-10-02</t>
        </is>
      </c>
    </row>
    <row r="43">
      <c r="A43" s="4" t="inlineStr">
        <is>
          <t>FRPD-39</t>
        </is>
      </c>
      <c r="B43" s="4" t="inlineStr">
        <is>
          <t>L-13</t>
        </is>
      </c>
      <c r="C43" s="5" t="inlineStr">
        <is>
          <t>Digitalización productiva y trazabilidad</t>
        </is>
      </c>
      <c r="D43" s="4" t="inlineStr">
        <is>
          <t>D. Energía, conectividad y digitalización</t>
        </is>
      </c>
      <c r="E43" s="4" t="inlineStr">
        <is>
          <t>VCE</t>
        </is>
      </c>
      <c r="F43" s="5" t="inlineStr">
        <is>
          <t>Valle Central</t>
        </is>
      </c>
      <c r="G43" s="5" t="inlineStr">
        <is>
          <t>Lautaro, Perquenco</t>
        </is>
      </c>
      <c r="H43" s="4" t="inlineStr">
        <is>
          <t>L6</t>
        </is>
      </c>
      <c r="I43" s="5" t="inlineStr">
        <is>
          <t>Digitalización</t>
        </is>
      </c>
      <c r="J43" s="5" t="inlineStr">
        <is>
          <t>Digitalización productiva y trazabilidad — Territorio Valle Central</t>
        </is>
      </c>
      <c r="K43" s="4" t="inlineStr">
        <is>
          <t>1. En Formulación</t>
        </is>
      </c>
      <c r="L43" s="4" t="inlineStr">
        <is>
          <t>1 - Por levantar</t>
        </is>
      </c>
      <c r="M43" s="6" t="n">
        <v>350</v>
      </c>
      <c r="N43" s="5" t="inlineStr">
        <is>
          <t>Entidades Privadas sin Fines de Lucro habilitadas (Res. 1/2026)</t>
        </is>
      </c>
      <c r="O43" s="5" t="inlineStr">
        <is>
          <t>Por Asignar DIFOI</t>
        </is>
      </c>
      <c r="P43" s="5" t="inlineStr">
        <is>
          <t>Las 993 antenas autorizadas siguen la Ruta 5 y dejan vacíos de cordillera y costa; existe una app agrícola validada en Costa Araucanía.</t>
        </is>
      </c>
      <c r="Q43" s="5" t="inlineStr">
        <is>
          <t>Herramientas digitales aplicadas a la producción: apoyo técnico agrícola, trazabilidad frutícola, digitalización de pymes turísticas, agricultura de precisión.</t>
        </is>
      </c>
      <c r="R43" s="5" t="inlineStr">
        <is>
          <t>2g, 3d</t>
        </is>
      </c>
      <c r="S43" s="4" t="inlineStr">
        <is>
          <t>2026-10-02</t>
        </is>
      </c>
    </row>
    <row r="44">
      <c r="A44" s="7" t="inlineStr">
        <is>
          <t>FRPD-40</t>
        </is>
      </c>
      <c r="B44" s="7" t="inlineStr">
        <is>
          <t>L-13</t>
        </is>
      </c>
      <c r="C44" s="8" t="inlineStr">
        <is>
          <t>Digitalización productiva y trazabilidad</t>
        </is>
      </c>
      <c r="D44" s="7" t="inlineStr">
        <is>
          <t>D. Energía, conectividad y digitalización</t>
        </is>
      </c>
      <c r="E44" s="7" t="inlineStr">
        <is>
          <t>NAH</t>
        </is>
      </c>
      <c r="F44" s="8" t="inlineStr">
        <is>
          <t>Nahuelbuta</t>
        </is>
      </c>
      <c r="G44" s="8" t="inlineStr">
        <is>
          <t>Purén, Los Sauces, Traiguén, Lumaco, Galvarino, Cholchol</t>
        </is>
      </c>
      <c r="H44" s="7" t="inlineStr">
        <is>
          <t>L6</t>
        </is>
      </c>
      <c r="I44" s="8" t="inlineStr">
        <is>
          <t>Digitalización</t>
        </is>
      </c>
      <c r="J44" s="8" t="inlineStr">
        <is>
          <t>Digitalización productiva y trazabilidad — Territorio Nahuelbuta</t>
        </is>
      </c>
      <c r="K44" s="7" t="inlineStr">
        <is>
          <t>1. En Formulación</t>
        </is>
      </c>
      <c r="L44" s="7" t="inlineStr">
        <is>
          <t>1 - Por levantar</t>
        </is>
      </c>
      <c r="M44" s="9" t="n">
        <v>350</v>
      </c>
      <c r="N44" s="8" t="inlineStr">
        <is>
          <t>Entidades Privadas sin Fines de Lucro habilitadas (Res. 1/2026)</t>
        </is>
      </c>
      <c r="O44" s="8" t="inlineStr">
        <is>
          <t>Por Asignar DIFOI</t>
        </is>
      </c>
      <c r="P44" s="8" t="inlineStr">
        <is>
          <t>Las 993 antenas autorizadas siguen la Ruta 5 y dejan vacíos de cordillera y costa; existe una app agrícola validada en Costa Araucanía.</t>
        </is>
      </c>
      <c r="Q44" s="8" t="inlineStr">
        <is>
          <t>Herramientas digitales aplicadas a la producción: apoyo técnico agrícola, trazabilidad frutícola, digitalización de pymes turísticas, agricultura de precisión.</t>
        </is>
      </c>
      <c r="R44" s="8" t="inlineStr">
        <is>
          <t>2g, 3d</t>
        </is>
      </c>
      <c r="S44" s="7" t="inlineStr">
        <is>
          <t>2026-10-02</t>
        </is>
      </c>
    </row>
    <row r="45">
      <c r="A45" s="4" t="inlineStr">
        <is>
          <t>FRPD-41</t>
        </is>
      </c>
      <c r="B45" s="4" t="inlineStr">
        <is>
          <t>L-14</t>
        </is>
      </c>
      <c r="C45" s="5" t="inlineStr">
        <is>
          <t>Vocaciones oficiales sin capacidad CTCI mapeada</t>
        </is>
      </c>
      <c r="D45" s="4" t="inlineStr">
        <is>
          <t>D. Energía, conectividad y digitalización</t>
        </is>
      </c>
      <c r="E45" s="4" t="inlineStr">
        <is>
          <t>AND</t>
        </is>
      </c>
      <c r="F45" s="5" t="inlineStr">
        <is>
          <t>Araucanía Andina</t>
        </is>
      </c>
      <c r="G45" s="5" t="inlineStr">
        <is>
          <t>Victoria, Lonquimay, Curacautín, Melipeuco, Vilcún, Cunco</t>
        </is>
      </c>
      <c r="H45" s="4" t="inlineStr">
        <is>
          <t>L2</t>
        </is>
      </c>
      <c r="I45" s="5" t="inlineStr">
        <is>
          <t>Biotecnología</t>
        </is>
      </c>
      <c r="J45" s="5" t="inlineStr">
        <is>
          <t>Vocaciones oficiales sin capacidad CTCI mapeada — Territorio Araucanía Andina</t>
        </is>
      </c>
      <c r="K45" s="4" t="inlineStr">
        <is>
          <t>1. En Formulación</t>
        </is>
      </c>
      <c r="L45" s="4" t="inlineStr">
        <is>
          <t>1 - Por levantar</t>
        </is>
      </c>
      <c r="M45" s="6" t="n">
        <v>350</v>
      </c>
      <c r="N45" s="5" t="inlineStr">
        <is>
          <t>Entidades Privadas sin Fines de Lucro habilitadas (Res. 1/2026)</t>
        </is>
      </c>
      <c r="O45" s="5" t="inlineStr">
        <is>
          <t>Por Asignar DIFOI</t>
        </is>
      </c>
      <c r="P45" s="5" t="inlineStr">
        <is>
          <t>Tres vocaciones oficiales de la ERD sin capacidad CTCI mapeada en la región.</t>
        </is>
      </c>
      <c r="Q45" s="5" t="inlineStr">
        <is>
          <t>Encargo de levantamiento, no de inversión: verificar si existe capacidad CTCI en industrias creativas, servicios y formalización del comercio, y productos forestales no madereros.</t>
        </is>
      </c>
      <c r="R45" s="5" t="inlineStr">
        <is>
          <t>Levantamiento CTCI</t>
        </is>
      </c>
      <c r="S45" s="4" t="inlineStr">
        <is>
          <t>2026-10-02</t>
        </is>
      </c>
    </row>
    <row r="46">
      <c r="A46" s="7" t="inlineStr">
        <is>
          <t>FRPD-42</t>
        </is>
      </c>
      <c r="B46" s="7" t="inlineStr">
        <is>
          <t>L-14</t>
        </is>
      </c>
      <c r="C46" s="8" t="inlineStr">
        <is>
          <t>Vocaciones oficiales sin capacidad CTCI mapeada</t>
        </is>
      </c>
      <c r="D46" s="7" t="inlineStr">
        <is>
          <t>D. Energía, conectividad y digitalización</t>
        </is>
      </c>
      <c r="E46" s="7" t="inlineStr">
        <is>
          <t>MNO</t>
        </is>
      </c>
      <c r="F46" s="8" t="inlineStr">
        <is>
          <t>Malleco Norte</t>
        </is>
      </c>
      <c r="G46" s="8" t="inlineStr">
        <is>
          <t>Angol, Renaico, Collipulli, Ercilla</t>
        </is>
      </c>
      <c r="H46" s="7" t="inlineStr">
        <is>
          <t>L6</t>
        </is>
      </c>
      <c r="I46" s="8" t="inlineStr">
        <is>
          <t>Digitalización</t>
        </is>
      </c>
      <c r="J46" s="8" t="inlineStr">
        <is>
          <t>Vocaciones oficiales sin capacidad CTCI mapeada — Territorio Malleco Norte</t>
        </is>
      </c>
      <c r="K46" s="7" t="inlineStr">
        <is>
          <t>1. En Formulación</t>
        </is>
      </c>
      <c r="L46" s="7" t="inlineStr">
        <is>
          <t>1 - Por levantar</t>
        </is>
      </c>
      <c r="M46" s="9" t="n">
        <v>350</v>
      </c>
      <c r="N46" s="8" t="inlineStr">
        <is>
          <t>Entidades Privadas sin Fines de Lucro habilitadas (Res. 1/2026)</t>
        </is>
      </c>
      <c r="O46" s="8" t="inlineStr">
        <is>
          <t>Por Asignar DIFOI</t>
        </is>
      </c>
      <c r="P46" s="8" t="inlineStr">
        <is>
          <t>Tres vocaciones oficiales de la ERD sin capacidad CTCI mapeada en la región.</t>
        </is>
      </c>
      <c r="Q46" s="8" t="inlineStr">
        <is>
          <t>Encargo de levantamiento, no de inversión: verificar si existe capacidad CTCI en industrias creativas, servicios y formalización del comercio, y productos forestales no madereros.</t>
        </is>
      </c>
      <c r="R46" s="8" t="inlineStr">
        <is>
          <t>Levantamiento CTCI</t>
        </is>
      </c>
      <c r="S46" s="7" t="inlineStr">
        <is>
          <t>2026-10-02</t>
        </is>
      </c>
    </row>
  </sheetData>
  <dataValidations count="2">
    <dataValidation sqref="K5:K46" showDropDown="0" showInputMessage="0" showErrorMessage="0" allowBlank="1" type="list">
      <formula1>"1. En Formulación,2. Ficha Técnica Completa,3. En Evaluación Ex-Ante,4. Priorizada FRPD,5. En Convenio / Ejecución"</formula1>
    </dataValidation>
    <dataValidation sqref="L5:L46" showDropDown="0" showInputMessage="0" showErrorMessage="0" allowBlank="1" type="list">
      <formula1>"3 - Evidencia levantada / Contraparte identificada,2 - Evidencia parcial,1 - Por levantar"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24" customWidth="1" min="4" max="4"/>
    <col width="24" customWidth="1" min="5" max="5"/>
    <col width="55" customWidth="1" min="6" max="6"/>
    <col width="55" customWidth="1" min="7" max="7"/>
  </cols>
  <sheetData>
    <row r="1">
      <c r="A1" s="1" t="inlineStr">
        <is>
          <t>CATÁLOGO DE LÍNEAS ESTRATÉGICAS DIFOI (MARCO DE INVERSIÓN FRPD 2026)</t>
        </is>
      </c>
    </row>
    <row r="2">
      <c r="A2" s="2" t="inlineStr">
        <is>
          <t>Alineadas con la ERD 2040 y las tipologías del Art. 8 del D.S. 1.699 de 2024</t>
        </is>
      </c>
    </row>
    <row r="4">
      <c r="A4" s="3" t="inlineStr">
        <is>
          <t>COD_LINEA</t>
        </is>
      </c>
      <c r="B4" s="3" t="inlineStr">
        <is>
          <t>NOMBRE_LINEA_ESTRATEGICA</t>
        </is>
      </c>
      <c r="C4" s="3" t="inlineStr">
        <is>
          <t>BLOQUE</t>
        </is>
      </c>
      <c r="D4" s="3" t="inlineStr">
        <is>
          <t>TERRITORIOS_APLICACION</t>
        </is>
      </c>
      <c r="E4" s="3" t="inlineStr">
        <is>
          <t>CATEGORIAS_ART8_DS1699</t>
        </is>
      </c>
      <c r="F4" s="3" t="inlineStr">
        <is>
          <t>OBJETIVO_ESTRATEGICO</t>
        </is>
      </c>
      <c r="G4" s="3" t="inlineStr">
        <is>
          <t>BRECHA_O_PROBLEMA_DOCUMENTADO</t>
        </is>
      </c>
    </row>
    <row r="5">
      <c r="A5" s="4" t="inlineStr">
        <is>
          <t>L-01</t>
        </is>
      </c>
      <c r="B5" s="5" t="inlineStr">
        <is>
          <t>Red regional de extensionismo tecnológico</t>
        </is>
      </c>
      <c r="C5" s="4" t="inlineStr">
        <is>
          <t>A. Habilitantes</t>
        </is>
      </c>
      <c r="D5" s="4" t="inlineStr">
        <is>
          <t>TODOS</t>
        </is>
      </c>
      <c r="E5" s="5" t="inlineStr">
        <is>
          <t>vi, vii, 2g, 2e</t>
        </is>
      </c>
      <c r="F5" s="5" t="inlineStr">
        <is>
          <t>Arquitectura permanente que baje la oferta científica regional a la demanda productiva de los siete territorios fuera de Temuco: nodos con contraparte técnica estable, convenio con un Centro Regional ANID y programa universitario territorial.</t>
        </is>
      </c>
      <c r="G5" s="5" t="inlineStr">
        <is>
          <t>No existe arquitectura de extensionismo: seis de ocho territorios generan valor exportable sin contraparte científica local; la capacidad se concentra en Temuco (BIOREN UFRO, CGNA, Incubatec).</t>
        </is>
      </c>
    </row>
    <row r="6">
      <c r="A6" s="7" t="inlineStr">
        <is>
          <t>L-02</t>
        </is>
      </c>
      <c r="B6" s="8" t="inlineStr">
        <is>
          <t>Capacidad de formulación y gobernanza territorial</t>
        </is>
      </c>
      <c r="C6" s="7" t="inlineStr">
        <is>
          <t>A. Habilitantes</t>
        </is>
      </c>
      <c r="D6" s="7" t="inlineStr">
        <is>
          <t>NAH, COS</t>
        </is>
      </c>
      <c r="E6" s="8" t="inlineStr">
        <is>
          <t>2d, 2e, 2g</t>
        </is>
      </c>
      <c r="F6" s="8" t="inlineStr">
        <is>
          <t>Unidades municipales de proyectos y gobernanza con comunidades en los territorios con menor capacidad de formulación, y cierre de la brecha de planificación comunal.</t>
        </is>
      </c>
      <c r="G6" s="8" t="inlineStr">
        <is>
          <t>12 de 32 comunas sin Plan Regulador Comunal vigente; Nahuelbuta concentra 5 de 6. Asignar solo por calidad de cartera amplía la brecha que la ERD manda cerrar.</t>
        </is>
      </c>
    </row>
    <row r="7">
      <c r="A7" s="4" t="inlineStr">
        <is>
          <t>L-03</t>
        </is>
      </c>
      <c r="B7" s="5" t="inlineStr">
        <is>
          <t>Capital humano avanzado con retribución regional</t>
        </is>
      </c>
      <c r="C7" s="4" t="inlineStr">
        <is>
          <t>A. Habilitantes</t>
        </is>
      </c>
      <c r="D7" s="4" t="inlineStr">
        <is>
          <t>REGIONAL</t>
        </is>
      </c>
      <c r="E7" s="5" t="inlineStr">
        <is>
          <t>iii, iv</t>
        </is>
      </c>
      <c r="F7" s="5" t="inlineStr">
        <is>
          <t>Becas de postgrado en Chile con obligación de retribución en la región y convenios con universidades para atraer talento en áreas definidas por la ERD.</t>
        </is>
      </c>
      <c r="G7" s="5" t="inlineStr">
        <is>
          <t>La fuga de capital humano avanzado es una brecha transversal; el mecanismo existe en el reglamento y no está operando.</t>
        </is>
      </c>
    </row>
    <row r="8">
      <c r="A8" s="7" t="inlineStr">
        <is>
          <t>L-04</t>
        </is>
      </c>
      <c r="B8" s="8" t="inlineStr">
        <is>
          <t>Laboratorio regional de calidad de aguas</t>
        </is>
      </c>
      <c r="C8" s="7" t="inlineStr">
        <is>
          <t>B. Agua, suelo y clima</t>
        </is>
      </c>
      <c r="D8" s="7" t="inlineStr">
        <is>
          <t>TPLC</t>
        </is>
      </c>
      <c r="E8" s="8" t="inlineStr">
        <is>
          <t>ii</t>
        </is>
      </c>
      <c r="F8" s="8" t="inlineStr">
        <is>
          <t>Capacidad regional de análisis de calidad de aguas (equipamiento multiuso, acreditación, operación) con datos abiertos.</t>
        </is>
      </c>
      <c r="G8" s="8" t="inlineStr">
        <is>
          <t>83 de las 236 estaciones vigentes de la DGA en la región son de calidad de aguas: la brecha es de laboratorio, no de instrumentación.</t>
        </is>
      </c>
    </row>
    <row r="9">
      <c r="A9" s="4" t="inlineStr">
        <is>
          <t>L-05</t>
        </is>
      </c>
      <c r="B9" s="5" t="inlineStr">
        <is>
          <t>Contraparte técnica de cuenca y cierre de vacíos de monitoreo</t>
        </is>
      </c>
      <c r="C9" s="4" t="inlineStr">
        <is>
          <t>B. Agua, suelo y clima</t>
        </is>
      </c>
      <c r="D9" s="4" t="inlineStr">
        <is>
          <t>COS, CSU, MNO</t>
        </is>
      </c>
      <c r="E9" s="5" t="inlineStr">
        <is>
          <t>2d, 2e, 3a</t>
        </is>
      </c>
      <c r="F9" s="5" t="inlineStr">
        <is>
          <t>Instancia técnica regional que traduzca los Planes Estratégicos de Gestión Hídrica a cartera de inversión y cierre los vacíos de medición.</t>
        </is>
      </c>
      <c r="G9" s="5" t="inlineStr">
        <is>
          <t>Cinco de ocho territorios se reparten entre dos o más cuencas; Queule y las franjas costeras suman 1.050 km² sin estaciones.</t>
        </is>
      </c>
    </row>
    <row r="10">
      <c r="A10" s="7" t="inlineStr">
        <is>
          <t>L-06</t>
        </is>
      </c>
      <c r="B10" s="8" t="inlineStr">
        <is>
          <t>Recuperación de suelos y seguridad hídrica productiva</t>
        </is>
      </c>
      <c r="C10" s="7" t="inlineStr">
        <is>
          <t>B. Agua, suelo y clima</t>
        </is>
      </c>
      <c r="D10" s="7" t="inlineStr">
        <is>
          <t>NAH, VCE, AND</t>
        </is>
      </c>
      <c r="E10" s="8" t="inlineStr">
        <is>
          <t>3a, 3b.ii</t>
        </is>
      </c>
      <c r="F10" s="8" t="inlineStr">
        <is>
          <t>Investigación aplicada y transferencia en recuperación de suelos degradados y seguridad hídrica para riego donde erosión y déficit coinciden con producción.</t>
        </is>
      </c>
      <c r="G10" s="8" t="inlineStr">
        <is>
          <t>Disponibilidad hídrica proyectada −14,2% al 2050; erosión severa en cordones andinos y costeros; laboratorio de suelos de INIA Carillanca disponible.</t>
        </is>
      </c>
    </row>
    <row r="11">
      <c r="A11" s="4" t="inlineStr">
        <is>
          <t>L-07</t>
        </is>
      </c>
      <c r="B11" s="5" t="inlineStr">
        <is>
          <t>Capacidad de carga y calidad de sistemas lacustres</t>
        </is>
      </c>
      <c r="C11" s="4" t="inlineStr">
        <is>
          <t>B. Agua, suelo y clima</t>
        </is>
      </c>
      <c r="D11" s="4" t="inlineStr">
        <is>
          <t>LAC</t>
        </is>
      </c>
      <c r="E11" s="5" t="inlineStr">
        <is>
          <t>3a, ii, iv</t>
        </is>
      </c>
      <c r="F11" s="5" t="inlineStr">
        <is>
          <t>Línea base e instrumento permanente de medición de capacidad de carga turística y calidad lacustre, con atracción de talento en sustentabilidad turística.</t>
        </is>
      </c>
      <c r="G11" s="5" t="inlineStr">
        <is>
          <t>El lago Villarrica tiene norma secundaria desde 2013 y eutroficación documentada; no hay línea base de capacidad de carga.</t>
        </is>
      </c>
    </row>
    <row r="12">
      <c r="A12" s="7" t="inlineStr">
        <is>
          <t>L-08</t>
        </is>
      </c>
      <c r="B12" s="8" t="inlineStr">
        <is>
          <t>Infraestructura de poscosecha y procesamiento de alimentos</t>
        </is>
      </c>
      <c r="C12" s="7" t="inlineStr">
        <is>
          <t>C. Bioeconomía y valor agregado</t>
        </is>
      </c>
      <c r="D12" s="7" t="inlineStr">
        <is>
          <t>VCE, CSU, MNO, COS, TPLC</t>
        </is>
      </c>
      <c r="E12" s="8" t="inlineStr">
        <is>
          <t>3c, 3a, ii</t>
        </is>
      </c>
      <c r="F12" s="8" t="inlineStr">
        <is>
          <t>Equipamiento multiusuario para agregar valor: planta piloto y laboratorio de alimentos, poscosecha frutícola y de frutos secos, productos del mar y tubérculos.</t>
        </is>
      </c>
      <c r="G12" s="8" t="inlineStr">
        <is>
          <t>El Parque Industrial y Tecnológico (430 ha) no tiene componente de I+D; Valle Central y Malleco Norte tienen masa crítica alta y capacidad científica baja.</t>
        </is>
      </c>
    </row>
    <row r="13">
      <c r="A13" s="4" t="inlineStr">
        <is>
          <t>L-09</t>
        </is>
      </c>
      <c r="B13" s="5" t="inlineStr">
        <is>
          <t>Biotecnología aplicada a cultivos, semilla y genética</t>
        </is>
      </c>
      <c r="C13" s="4" t="inlineStr">
        <is>
          <t>C. Bioeconomía y valor agregado</t>
        </is>
      </c>
      <c r="D13" s="4" t="inlineStr">
        <is>
          <t>TPLC, VCE, CSU, COS, NAH</t>
        </is>
      </c>
      <c r="E13" s="5" t="inlineStr">
        <is>
          <t>3c, 3d, vi, i, ii</t>
        </is>
      </c>
      <c r="F13" s="5" t="inlineStr">
        <is>
          <t>Desarrollo experimental y transferencia en proteína vegetal, papa-semilla, cultivo de tejidos, mejoramiento genético ganadero y propagación de nativas.</t>
        </is>
      </c>
      <c r="G13" s="5" t="inlineStr">
        <is>
          <t>Capacidad instalada en Temuco poco usada por el resto: BIOREN, CGNA (Centro Regional ANID), INIA Carillanca.</t>
        </is>
      </c>
    </row>
    <row r="14">
      <c r="A14" s="7" t="inlineStr">
        <is>
          <t>L-10</t>
        </is>
      </c>
      <c r="B14" s="8" t="inlineStr">
        <is>
          <t>Alimentos con identidad territorial</t>
        </is>
      </c>
      <c r="C14" s="7" t="inlineStr">
        <is>
          <t>C. Bioeconomía y valor agregado</t>
        </is>
      </c>
      <c r="D14" s="7" t="inlineStr">
        <is>
          <t>AND, LAC, NAH</t>
        </is>
      </c>
      <c r="E14" s="8" t="inlineStr">
        <is>
          <t>3c, 3d, 3b.ii</t>
        </is>
      </c>
      <c r="F14" s="8" t="inlineStr">
        <is>
          <t>Valor agregado y diferenciación para productos con identidad de origen: montaña, gastronomía, legumbres, cereales y bebidas.</t>
        </is>
      </c>
      <c r="G14" s="8" t="inlineStr">
        <is>
          <t>Tres territorios con vocación oficial en esta línea y sin capacidad científica dedicada; es el puente para financiar el LER 1 vía innovación social (3b.ii).</t>
        </is>
      </c>
    </row>
    <row r="15">
      <c r="A15" s="4" t="inlineStr">
        <is>
          <t>L-11</t>
        </is>
      </c>
      <c r="B15" s="5" t="inlineStr">
        <is>
          <t>Valorización de residuos y subproductos</t>
        </is>
      </c>
      <c r="C15" s="4" t="inlineStr">
        <is>
          <t>C. Bioeconomía y valor agregado</t>
        </is>
      </c>
      <c r="D15" s="4" t="inlineStr">
        <is>
          <t>TODOS</t>
        </is>
      </c>
      <c r="E15" s="5" t="inlineStr">
        <is>
          <t>3c, 3a, 2h</t>
        </is>
      </c>
      <c r="F15" s="5" t="inlineStr">
        <is>
          <t>Desarrollo experimental para transformar residuos y descartes en producto (biomasa forestal, avellana, descarte frutícola, cereales, pesca) e innovación pública en residuos.</t>
        </is>
      </c>
      <c r="G15" s="5" t="inlineStr">
        <is>
          <t>Presente en los ocho territorios; la oportunidad está identificada, pero falta caracterizar volumen y tipo de residuo.</t>
        </is>
      </c>
    </row>
    <row r="16">
      <c r="A16" s="7" t="inlineStr">
        <is>
          <t>L-12</t>
        </is>
      </c>
      <c r="B16" s="8" t="inlineStr">
        <is>
          <t>Transición energética con captura de valor local</t>
        </is>
      </c>
      <c r="C16" s="7" t="inlineStr">
        <is>
          <t>D. Energía, conectividad y digitalización</t>
        </is>
      </c>
      <c r="D16" s="7" t="inlineStr">
        <is>
          <t>MNO, TPLC, NAH, COS</t>
        </is>
      </c>
      <c r="E16" s="8" t="inlineStr">
        <is>
          <t>3a, 3c, 2d, 2g, 2h</t>
        </is>
      </c>
      <c r="F16" s="8" t="inlineStr">
        <is>
          <t>Investigación aplicada y desarrollo experimental para que la generación renovable se traduzca en capacidad productiva local: biomasa, calefacción, biocombustibles sólidos, frío renovable para la pesca.</t>
        </is>
      </c>
      <c r="G16" s="8" t="inlineStr">
        <is>
          <t>Renaico tiene 9 parques eólicos aprobados (294 aerogeneradores) y 2 solares en evaluación: Malleco Norte soporta la carga ambiental sin capturar el valor.</t>
        </is>
      </c>
    </row>
    <row r="17">
      <c r="A17" s="4" t="inlineStr">
        <is>
          <t>L-13</t>
        </is>
      </c>
      <c r="B17" s="5" t="inlineStr">
        <is>
          <t>Digitalización productiva y trazabilidad</t>
        </is>
      </c>
      <c r="C17" s="4" t="inlineStr">
        <is>
          <t>D. Energía, conectividad y digitalización</t>
        </is>
      </c>
      <c r="D17" s="4" t="inlineStr">
        <is>
          <t>COS, LAC, CSU, AND, VCE, NAH</t>
        </is>
      </c>
      <c r="E17" s="5" t="inlineStr">
        <is>
          <t>2g, 3d</t>
        </is>
      </c>
      <c r="F17" s="5" t="inlineStr">
        <is>
          <t>Herramientas digitales aplicadas a la producción: apoyo técnico agrícola, trazabilidad frutícola, digitalización de pymes turísticas, agricultura de precisión.</t>
        </is>
      </c>
      <c r="G17" s="5" t="inlineStr">
        <is>
          <t>Las 993 antenas autorizadas siguen la Ruta 5 y dejan vacíos de cordillera y costa; existe una app agrícola validada en Costa Araucanía.</t>
        </is>
      </c>
    </row>
    <row r="18">
      <c r="A18" s="7" t="inlineStr">
        <is>
          <t>L-14</t>
        </is>
      </c>
      <c r="B18" s="8" t="inlineStr">
        <is>
          <t>Vocaciones oficiales sin capacidad CTCI mapeada</t>
        </is>
      </c>
      <c r="C18" s="7" t="inlineStr">
        <is>
          <t>D. Energía, conectividad y digitalización</t>
        </is>
      </c>
      <c r="D18" s="7" t="inlineStr">
        <is>
          <t>AND, MNO, NAH, TPLC, LAC</t>
        </is>
      </c>
      <c r="E18" s="8" t="inlineStr">
        <is>
          <t>Levantamiento CTCI</t>
        </is>
      </c>
      <c r="F18" s="8" t="inlineStr">
        <is>
          <t>Encargo de levantamiento, no de inversión: verificar si existe capacidad CTCI en industrias creativas, servicios y formalización del comercio, y productos forestales no madereros.</t>
        </is>
      </c>
      <c r="G18" s="8" t="inlineStr">
        <is>
          <t>Tres vocaciones oficiales de la ERD sin capacidad CTCI mapeada en la región.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18" customWidth="1" min="4" max="4"/>
    <col width="24" customWidth="1" min="5" max="5"/>
  </cols>
  <sheetData>
    <row r="1">
      <c r="A1" s="1" t="inlineStr">
        <is>
          <t>ORGANISMOS PÚBLICOS DE LA ARAUCANÍA — CHILECOMPRA (MERCADO PÚBLICO)</t>
        </is>
      </c>
    </row>
    <row r="2">
      <c r="A2" s="2" t="inlineStr">
        <is>
          <t>Códigos de comprador oficiales para monitoreo de licitaciones y compras públicas</t>
        </is>
      </c>
    </row>
    <row r="4">
      <c r="A4" s="3" t="inlineStr">
        <is>
          <t>COD_ORGANISMO</t>
        </is>
      </c>
      <c r="B4" s="3" t="inlineStr">
        <is>
          <t>NOMBRE_ORGANISMO_COMPRADOR</t>
        </is>
      </c>
      <c r="C4" s="3" t="inlineStr">
        <is>
          <t>COMUNA</t>
        </is>
      </c>
      <c r="D4" s="3" t="inlineStr">
        <is>
          <t>TERRITORIO_ERD</t>
        </is>
      </c>
      <c r="E4" s="3" t="inlineStr">
        <is>
          <t>TIPO_ENTIDAD</t>
        </is>
      </c>
    </row>
    <row r="5">
      <c r="A5" s="4" t="inlineStr">
        <is>
          <t>7013</t>
        </is>
      </c>
      <c r="B5" s="5" t="inlineStr">
        <is>
          <t>GOBIERNO REGIONAL DE LA ARAUCANIA</t>
        </is>
      </c>
      <c r="C5" s="4" t="inlineStr">
        <is>
          <t>Temuco</t>
        </is>
      </c>
      <c r="D5" s="4" t="inlineStr">
        <is>
          <t>TPLC</t>
        </is>
      </c>
      <c r="E5" s="4" t="inlineStr">
        <is>
          <t>Gobierno Regional</t>
        </is>
      </c>
    </row>
    <row r="6">
      <c r="A6" s="7" t="inlineStr">
        <is>
          <t>7321</t>
        </is>
      </c>
      <c r="B6" s="8" t="inlineStr">
        <is>
          <t>I MUNICIPALIDAD DE TEMUCO</t>
        </is>
      </c>
      <c r="C6" s="7" t="inlineStr">
        <is>
          <t>Temuco</t>
        </is>
      </c>
      <c r="D6" s="7" t="inlineStr">
        <is>
          <t>TPLC</t>
        </is>
      </c>
      <c r="E6" s="7" t="inlineStr">
        <is>
          <t>Municipalidad</t>
        </is>
      </c>
    </row>
    <row r="7">
      <c r="A7" s="4" t="inlineStr">
        <is>
          <t>90886</t>
        </is>
      </c>
      <c r="B7" s="5" t="inlineStr">
        <is>
          <t>I MUNICIPALIDAD DE PADRE LAS CASAS</t>
        </is>
      </c>
      <c r="C7" s="4" t="inlineStr">
        <is>
          <t>Padre Las Casas</t>
        </is>
      </c>
      <c r="D7" s="4" t="inlineStr">
        <is>
          <t>TPLC</t>
        </is>
      </c>
      <c r="E7" s="4" t="inlineStr">
        <is>
          <t>Municipalidad</t>
        </is>
      </c>
    </row>
    <row r="8">
      <c r="A8" s="7" t="inlineStr">
        <is>
          <t>118084</t>
        </is>
      </c>
      <c r="B8" s="8" t="inlineStr">
        <is>
          <t>I MUNICIPALIDAD DE VILLARRICA</t>
        </is>
      </c>
      <c r="C8" s="7" t="inlineStr">
        <is>
          <t>Villarrica</t>
        </is>
      </c>
      <c r="D8" s="7" t="inlineStr">
        <is>
          <t>LAC</t>
        </is>
      </c>
      <c r="E8" s="7" t="inlineStr">
        <is>
          <t>Municipalidad</t>
        </is>
      </c>
    </row>
    <row r="9">
      <c r="A9" s="4" t="inlineStr">
        <is>
          <t>86943</t>
        </is>
      </c>
      <c r="B9" s="5" t="inlineStr">
        <is>
          <t>I MUNICIPALIDAD DE PUCON</t>
        </is>
      </c>
      <c r="C9" s="4" t="inlineStr">
        <is>
          <t>Pucón</t>
        </is>
      </c>
      <c r="D9" s="4" t="inlineStr">
        <is>
          <t>LAC</t>
        </is>
      </c>
      <c r="E9" s="4" t="inlineStr">
        <is>
          <t>Municipalidad</t>
        </is>
      </c>
    </row>
    <row r="10">
      <c r="A10" s="7" t="inlineStr">
        <is>
          <t>118093</t>
        </is>
      </c>
      <c r="B10" s="8" t="inlineStr">
        <is>
          <t>ILUSTRE MUNICIPALIDAD DE CURARREHUE</t>
        </is>
      </c>
      <c r="C10" s="7" t="inlineStr">
        <is>
          <t>Curarrehue</t>
        </is>
      </c>
      <c r="D10" s="7" t="inlineStr">
        <is>
          <t>LAC</t>
        </is>
      </c>
      <c r="E10" s="7" t="inlineStr">
        <is>
          <t>Municipalidad</t>
        </is>
      </c>
    </row>
    <row r="11">
      <c r="A11" s="4" t="inlineStr">
        <is>
          <t>100156</t>
        </is>
      </c>
      <c r="B11" s="5" t="inlineStr">
        <is>
          <t>I MUNICIPALIDAD DE ANGOL</t>
        </is>
      </c>
      <c r="C11" s="4" t="inlineStr">
        <is>
          <t>Angol</t>
        </is>
      </c>
      <c r="D11" s="4" t="inlineStr">
        <is>
          <t>MNO</t>
        </is>
      </c>
      <c r="E11" s="4" t="inlineStr">
        <is>
          <t>Municipalidad</t>
        </is>
      </c>
    </row>
    <row r="12">
      <c r="A12" s="7" t="inlineStr">
        <is>
          <t>113853</t>
        </is>
      </c>
      <c r="B12" s="8" t="inlineStr">
        <is>
          <t>I MUNICIPALIDAD DE COLLIPULLI</t>
        </is>
      </c>
      <c r="C12" s="7" t="inlineStr">
        <is>
          <t>Collipulli</t>
        </is>
      </c>
      <c r="D12" s="7" t="inlineStr">
        <is>
          <t>MNO</t>
        </is>
      </c>
      <c r="E12" s="7" t="inlineStr">
        <is>
          <t>Municipalidad</t>
        </is>
      </c>
    </row>
    <row r="13">
      <c r="A13" s="4" t="inlineStr">
        <is>
          <t>118073</t>
        </is>
      </c>
      <c r="B13" s="5" t="inlineStr">
        <is>
          <t>I MUNICIPALIDAD DE RENAICO</t>
        </is>
      </c>
      <c r="C13" s="4" t="inlineStr">
        <is>
          <t>Renaico</t>
        </is>
      </c>
      <c r="D13" s="4" t="inlineStr">
        <is>
          <t>MNO</t>
        </is>
      </c>
      <c r="E13" s="4" t="inlineStr">
        <is>
          <t>Municipalidad</t>
        </is>
      </c>
    </row>
    <row r="14">
      <c r="A14" s="7" t="inlineStr">
        <is>
          <t>132741</t>
        </is>
      </c>
      <c r="B14" s="8" t="inlineStr">
        <is>
          <t>I MUNICIPALIDAD DE ERCILLA</t>
        </is>
      </c>
      <c r="C14" s="7" t="inlineStr">
        <is>
          <t>Ercilla</t>
        </is>
      </c>
      <c r="D14" s="7" t="inlineStr">
        <is>
          <t>MNO</t>
        </is>
      </c>
      <c r="E14" s="7" t="inlineStr">
        <is>
          <t>Municipalidad</t>
        </is>
      </c>
    </row>
    <row r="15">
      <c r="A15" s="4" t="inlineStr">
        <is>
          <t>124577</t>
        </is>
      </c>
      <c r="B15" s="5" t="inlineStr">
        <is>
          <t>I MUNICIPALIDAD DE LAUTARO</t>
        </is>
      </c>
      <c r="C15" s="4" t="inlineStr">
        <is>
          <t>Lautaro</t>
        </is>
      </c>
      <c r="D15" s="4" t="inlineStr">
        <is>
          <t>VCE</t>
        </is>
      </c>
      <c r="E15" s="4" t="inlineStr">
        <is>
          <t>Municipalidad</t>
        </is>
      </c>
    </row>
    <row r="16">
      <c r="A16" s="7" t="inlineStr">
        <is>
          <t>133899</t>
        </is>
      </c>
      <c r="B16" s="8" t="inlineStr">
        <is>
          <t>I MUNICIPALIDAD DE PERQUENCO</t>
        </is>
      </c>
      <c r="C16" s="7" t="inlineStr">
        <is>
          <t>Perquenco</t>
        </is>
      </c>
      <c r="D16" s="7" t="inlineStr">
        <is>
          <t>VCE</t>
        </is>
      </c>
      <c r="E16" s="7" t="inlineStr">
        <is>
          <t>Municipalidad</t>
        </is>
      </c>
    </row>
    <row r="17">
      <c r="A17" s="4" t="inlineStr">
        <is>
          <t>118089</t>
        </is>
      </c>
      <c r="B17" s="5" t="inlineStr">
        <is>
          <t>I MUNICIPALIDAD DE FREIRE</t>
        </is>
      </c>
      <c r="C17" s="4" t="inlineStr">
        <is>
          <t>Freire</t>
        </is>
      </c>
      <c r="D17" s="4" t="inlineStr">
        <is>
          <t>CSU</t>
        </is>
      </c>
      <c r="E17" s="4" t="inlineStr">
        <is>
          <t>Municipalidad</t>
        </is>
      </c>
    </row>
    <row r="18">
      <c r="A18" s="7" t="inlineStr">
        <is>
          <t>116411</t>
        </is>
      </c>
      <c r="B18" s="8" t="inlineStr">
        <is>
          <t>I MUNICIPALIDAD DE PITRUFQUEN</t>
        </is>
      </c>
      <c r="C18" s="7" t="inlineStr">
        <is>
          <t>Pitrufquén</t>
        </is>
      </c>
      <c r="D18" s="7" t="inlineStr">
        <is>
          <t>CSU</t>
        </is>
      </c>
      <c r="E18" s="7" t="inlineStr">
        <is>
          <t>Municipalidad</t>
        </is>
      </c>
    </row>
    <row r="19">
      <c r="A19" s="4" t="inlineStr">
        <is>
          <t>117586</t>
        </is>
      </c>
      <c r="B19" s="5" t="inlineStr">
        <is>
          <t>Municipalidad de Gorbea</t>
        </is>
      </c>
      <c r="C19" s="4" t="inlineStr">
        <is>
          <t>Gorbea</t>
        </is>
      </c>
      <c r="D19" s="4" t="inlineStr">
        <is>
          <t>CSU</t>
        </is>
      </c>
      <c r="E19" s="4" t="inlineStr">
        <is>
          <t>Municipalidad</t>
        </is>
      </c>
    </row>
    <row r="20">
      <c r="A20" s="7" t="inlineStr">
        <is>
          <t>113851</t>
        </is>
      </c>
      <c r="B20" s="8" t="inlineStr">
        <is>
          <t>I MUNICIPALIDAD DE LONCOCHE</t>
        </is>
      </c>
      <c r="C20" s="7" t="inlineStr">
        <is>
          <t>Loncoche</t>
        </is>
      </c>
      <c r="D20" s="7" t="inlineStr">
        <is>
          <t>CSU</t>
        </is>
      </c>
      <c r="E20" s="7" t="inlineStr">
        <is>
          <t>Municipalidad</t>
        </is>
      </c>
    </row>
    <row r="21">
      <c r="A21" s="4" t="inlineStr">
        <is>
          <t>115186</t>
        </is>
      </c>
      <c r="B21" s="5" t="inlineStr">
        <is>
          <t>I MUNICIPALIDAD DE CARAHUE</t>
        </is>
      </c>
      <c r="C21" s="4" t="inlineStr">
        <is>
          <t>Carahue</t>
        </is>
      </c>
      <c r="D21" s="4" t="inlineStr">
        <is>
          <t>COS</t>
        </is>
      </c>
      <c r="E21" s="4" t="inlineStr">
        <is>
          <t>Municipalidad</t>
        </is>
      </c>
    </row>
    <row r="22">
      <c r="A22" s="7" t="inlineStr">
        <is>
          <t>114924</t>
        </is>
      </c>
      <c r="B22" s="8" t="inlineStr">
        <is>
          <t>I MUNICIPALIDAD DE NUEVA IMPERIAL</t>
        </is>
      </c>
      <c r="C22" s="7" t="inlineStr">
        <is>
          <t>Nueva Imperial</t>
        </is>
      </c>
      <c r="D22" s="7" t="inlineStr">
        <is>
          <t>COS</t>
        </is>
      </c>
      <c r="E22" s="7" t="inlineStr">
        <is>
          <t>Municipalidad</t>
        </is>
      </c>
    </row>
    <row r="23">
      <c r="A23" s="4" t="inlineStr">
        <is>
          <t>115313</t>
        </is>
      </c>
      <c r="B23" s="5" t="inlineStr">
        <is>
          <t>I MUNICIPALIDAD DE SAAVEDRA</t>
        </is>
      </c>
      <c r="C23" s="4" t="inlineStr">
        <is>
          <t>Saavedra</t>
        </is>
      </c>
      <c r="D23" s="4" t="inlineStr">
        <is>
          <t>COS</t>
        </is>
      </c>
      <c r="E23" s="4" t="inlineStr">
        <is>
          <t>Municipalidad</t>
        </is>
      </c>
    </row>
    <row r="24">
      <c r="A24" s="7" t="inlineStr">
        <is>
          <t>115280</t>
        </is>
      </c>
      <c r="B24" s="8" t="inlineStr">
        <is>
          <t>ILUSTRE MUNICIPALIDAD TEODORO SCHMIDT</t>
        </is>
      </c>
      <c r="C24" s="7" t="inlineStr">
        <is>
          <t>Teodoro Schmidt</t>
        </is>
      </c>
      <c r="D24" s="7" t="inlineStr">
        <is>
          <t>COS</t>
        </is>
      </c>
      <c r="E24" s="7" t="inlineStr">
        <is>
          <t>Municipalidad</t>
        </is>
      </c>
    </row>
    <row r="25">
      <c r="A25" s="4" t="inlineStr">
        <is>
          <t>117582</t>
        </is>
      </c>
      <c r="B25" s="5" t="inlineStr">
        <is>
          <t>Ilustre Municipalidad de Tolten</t>
        </is>
      </c>
      <c r="C25" s="4" t="inlineStr">
        <is>
          <t>Toltén</t>
        </is>
      </c>
      <c r="D25" s="4" t="inlineStr">
        <is>
          <t>COS</t>
        </is>
      </c>
      <c r="E25" s="4" t="inlineStr">
        <is>
          <t>Municipalidad</t>
        </is>
      </c>
    </row>
    <row r="26">
      <c r="A26" s="7" t="inlineStr">
        <is>
          <t>116945</t>
        </is>
      </c>
      <c r="B26" s="8" t="inlineStr">
        <is>
          <t>I MUNICIPALIDAD DE PUREN</t>
        </is>
      </c>
      <c r="C26" s="7" t="inlineStr">
        <is>
          <t>Purén</t>
        </is>
      </c>
      <c r="D26" s="7" t="inlineStr">
        <is>
          <t>NAH</t>
        </is>
      </c>
      <c r="E26" s="7" t="inlineStr">
        <is>
          <t>Municipalidad</t>
        </is>
      </c>
    </row>
    <row r="27">
      <c r="A27" s="4" t="inlineStr">
        <is>
          <t>116408</t>
        </is>
      </c>
      <c r="B27" s="5" t="inlineStr">
        <is>
          <t>I MUNICIPALIDAD DE LOS SAUCES</t>
        </is>
      </c>
      <c r="C27" s="4" t="inlineStr">
        <is>
          <t>Los Sauces</t>
        </is>
      </c>
      <c r="D27" s="4" t="inlineStr">
        <is>
          <t>NAH</t>
        </is>
      </c>
      <c r="E27" s="4" t="inlineStr">
        <is>
          <t>Municipalidad</t>
        </is>
      </c>
    </row>
    <row r="28">
      <c r="A28" s="7" t="inlineStr">
        <is>
          <t>115163</t>
        </is>
      </c>
      <c r="B28" s="8" t="inlineStr">
        <is>
          <t>MUNICIPALIDAD DE TRAIGUEN</t>
        </is>
      </c>
      <c r="C28" s="7" t="inlineStr">
        <is>
          <t>Traiguén</t>
        </is>
      </c>
      <c r="D28" s="7" t="inlineStr">
        <is>
          <t>NAH</t>
        </is>
      </c>
      <c r="E28" s="7" t="inlineStr">
        <is>
          <t>Municipalidad</t>
        </is>
      </c>
    </row>
    <row r="29">
      <c r="A29" s="4" t="inlineStr">
        <is>
          <t>138211</t>
        </is>
      </c>
      <c r="B29" s="5" t="inlineStr">
        <is>
          <t>Ilustre Municipalidad de Lumaco</t>
        </is>
      </c>
      <c r="C29" s="4" t="inlineStr">
        <is>
          <t>Lumaco</t>
        </is>
      </c>
      <c r="D29" s="4" t="inlineStr">
        <is>
          <t>NAH</t>
        </is>
      </c>
      <c r="E29" s="4" t="inlineStr">
        <is>
          <t>Municipalidad</t>
        </is>
      </c>
    </row>
    <row r="30">
      <c r="A30" s="7" t="inlineStr">
        <is>
          <t>124203</t>
        </is>
      </c>
      <c r="B30" s="8" t="inlineStr">
        <is>
          <t>Ilustre Municipalidad de Galvarino</t>
        </is>
      </c>
      <c r="C30" s="7" t="inlineStr">
        <is>
          <t>Galvarino</t>
        </is>
      </c>
      <c r="D30" s="7" t="inlineStr">
        <is>
          <t>NAH</t>
        </is>
      </c>
      <c r="E30" s="7" t="inlineStr">
        <is>
          <t>Municipalidad</t>
        </is>
      </c>
    </row>
    <row r="31">
      <c r="A31" s="4" t="inlineStr">
        <is>
          <t>165105</t>
        </is>
      </c>
      <c r="B31" s="5" t="inlineStr">
        <is>
          <t>MUNICIPALIDAD DE CHOLCHOL</t>
        </is>
      </c>
      <c r="C31" s="4" t="inlineStr">
        <is>
          <t>Cholchol</t>
        </is>
      </c>
      <c r="D31" s="4" t="inlineStr">
        <is>
          <t>NAH</t>
        </is>
      </c>
      <c r="E31" s="4" t="inlineStr">
        <is>
          <t>Municipalidad</t>
        </is>
      </c>
    </row>
    <row r="32">
      <c r="A32" s="7" t="inlineStr">
        <is>
          <t>116399</t>
        </is>
      </c>
      <c r="B32" s="8" t="inlineStr">
        <is>
          <t>I MUNICIPALIDAD DE VICTORIA</t>
        </is>
      </c>
      <c r="C32" s="7" t="inlineStr">
        <is>
          <t>Victoria</t>
        </is>
      </c>
      <c r="D32" s="7" t="inlineStr">
        <is>
          <t>AND</t>
        </is>
      </c>
      <c r="E32" s="7" t="inlineStr">
        <is>
          <t>Municipalidad</t>
        </is>
      </c>
    </row>
    <row r="33">
      <c r="A33" s="4" t="inlineStr">
        <is>
          <t>119994</t>
        </is>
      </c>
      <c r="B33" s="5" t="inlineStr">
        <is>
          <t>I MUNICIPALIDAD DE LONQUIMAY</t>
        </is>
      </c>
      <c r="C33" s="4" t="inlineStr">
        <is>
          <t>Lonquimay</t>
        </is>
      </c>
      <c r="D33" s="4" t="inlineStr">
        <is>
          <t>AND</t>
        </is>
      </c>
      <c r="E33" s="4" t="inlineStr">
        <is>
          <t>Municipalidad</t>
        </is>
      </c>
    </row>
    <row r="34">
      <c r="A34" s="7" t="inlineStr">
        <is>
          <t>121613</t>
        </is>
      </c>
      <c r="B34" s="8" t="inlineStr">
        <is>
          <t>I MUNICIPALIDAD DE CURACAUTIN</t>
        </is>
      </c>
      <c r="C34" s="7" t="inlineStr">
        <is>
          <t>Curacautín</t>
        </is>
      </c>
      <c r="D34" s="7" t="inlineStr">
        <is>
          <t>AND</t>
        </is>
      </c>
      <c r="E34" s="7" t="inlineStr">
        <is>
          <t>Municipalidad</t>
        </is>
      </c>
    </row>
    <row r="35">
      <c r="A35" s="4" t="inlineStr">
        <is>
          <t>121617</t>
        </is>
      </c>
      <c r="B35" s="5" t="inlineStr">
        <is>
          <t>ILUSTRE MUNICIPALIDAD MELIPEUCO</t>
        </is>
      </c>
      <c r="C35" s="4" t="inlineStr">
        <is>
          <t>Melipeuco</t>
        </is>
      </c>
      <c r="D35" s="4" t="inlineStr">
        <is>
          <t>AND</t>
        </is>
      </c>
      <c r="E35" s="4" t="inlineStr">
        <is>
          <t>Municipalidad</t>
        </is>
      </c>
    </row>
    <row r="36">
      <c r="A36" s="7" t="inlineStr">
        <is>
          <t>115009</t>
        </is>
      </c>
      <c r="B36" s="8" t="inlineStr">
        <is>
          <t>I MUNICIPALIDAD DE VILCUN</t>
        </is>
      </c>
      <c r="C36" s="7" t="inlineStr">
        <is>
          <t>Vilcún</t>
        </is>
      </c>
      <c r="D36" s="7" t="inlineStr">
        <is>
          <t>AND</t>
        </is>
      </c>
      <c r="E36" s="7" t="inlineStr">
        <is>
          <t>Municipalidad</t>
        </is>
      </c>
    </row>
    <row r="37">
      <c r="A37" s="4" t="inlineStr">
        <is>
          <t>129738</t>
        </is>
      </c>
      <c r="B37" s="5" t="inlineStr">
        <is>
          <t>I MUNICIPALIDAD DE CUNCO</t>
        </is>
      </c>
      <c r="C37" s="4" t="inlineStr">
        <is>
          <t>Cunco</t>
        </is>
      </c>
      <c r="D37" s="4" t="inlineStr">
        <is>
          <t>AND</t>
        </is>
      </c>
      <c r="E37" s="4" t="inlineStr">
        <is>
          <t>Municipalidad</t>
        </is>
      </c>
    </row>
    <row r="38">
      <c r="A38" s="7" t="inlineStr">
        <is>
          <t>7302</t>
        </is>
      </c>
      <c r="B38" s="8" t="inlineStr">
        <is>
          <t>SERVICIO DE SALUD ARAUCANIA NORTE</t>
        </is>
      </c>
      <c r="C38" s="7" t="inlineStr">
        <is>
          <t>Angol</t>
        </is>
      </c>
      <c r="D38" s="7" t="inlineStr">
        <is>
          <t>MNO</t>
        </is>
      </c>
      <c r="E38" s="7" t="inlineStr">
        <is>
          <t>Salud Pública</t>
        </is>
      </c>
    </row>
    <row r="39">
      <c r="A39" s="4" t="inlineStr">
        <is>
          <t>7102</t>
        </is>
      </c>
      <c r="B39" s="5" t="inlineStr">
        <is>
          <t>SERVICIO DE SALUD ARAUCANIA SUR</t>
        </is>
      </c>
      <c r="C39" s="4" t="inlineStr">
        <is>
          <t>Temuco</t>
        </is>
      </c>
      <c r="D39" s="4" t="inlineStr">
        <is>
          <t>TPLC</t>
        </is>
      </c>
      <c r="E39" s="4" t="inlineStr">
        <is>
          <t>Salud Pública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" customWidth="1" min="3" max="3"/>
    <col width="35" customWidth="1" min="4" max="4"/>
    <col width="14" customWidth="1" min="5" max="5"/>
    <col width="6" customWidth="1" min="6" max="6"/>
  </cols>
  <sheetData>
    <row r="1">
      <c r="A1" s="1" t="inlineStr">
        <is>
          <t>RESUMEN DE CONTROL DE CARTERA FRPD — DIFOI GORE ARAUCANÍA</t>
        </is>
      </c>
    </row>
    <row r="2">
      <c r="A2" s="2" t="inlineStr">
        <is>
          <t>Indicadores clave para presentación a Jefatura y Consejo Regional</t>
        </is>
      </c>
    </row>
    <row r="4">
      <c r="A4" s="10" t="inlineStr">
        <is>
          <t>TOTAL INICIATIVAS EN CARTERA</t>
        </is>
      </c>
      <c r="D4" s="10" t="inlineStr">
        <is>
          <t>PRESUPUESTO TOTAL ESTIMADO (MM$)</t>
        </is>
      </c>
    </row>
    <row r="5">
      <c r="A5" s="11">
        <f>CONTARA('1. Cartera_Iniciativas_Viva'!A5:A46)</f>
        <v/>
      </c>
      <c r="D5" s="12">
        <f>SUMA('1. Cartera_Iniciativas_Viva'!M5:M46)</f>
        <v/>
      </c>
    </row>
    <row r="7">
      <c r="A7" s="13" t="inlineStr">
        <is>
          <t>ESTADO DE AVANCE DE INICIATIVAS</t>
        </is>
      </c>
      <c r="B7" t="inlineStr"/>
      <c r="C7" t="inlineStr"/>
      <c r="D7" s="13" t="inlineStr">
        <is>
          <t>DISTRIBUCIÓN POR BLOQUE TEMÁTICO</t>
        </is>
      </c>
      <c r="E7" t="inlineStr"/>
      <c r="F7" t="inlineStr"/>
    </row>
    <row r="8">
      <c r="A8" s="14" t="inlineStr">
        <is>
          <t>1. En Formulación</t>
        </is>
      </c>
      <c r="B8" s="15">
        <f>CONTAR.SI('1. Cartera_Iniciativas_Viva'!K5:K46, "1. En Formulación")</f>
        <v/>
      </c>
      <c r="D8" s="14" t="inlineStr">
        <is>
          <t>A. Habilitantes</t>
        </is>
      </c>
      <c r="E8" s="15">
        <f>CONTAR.SI('1. Cartera_Iniciativas_Viva'!D5:D46, "A. Habilitantes")</f>
        <v/>
      </c>
    </row>
    <row r="9">
      <c r="A9" s="14" t="inlineStr">
        <is>
          <t>2. Ficha Técnica Completa</t>
        </is>
      </c>
      <c r="B9" s="15">
        <f>CONTAR.SI('1. Cartera_Iniciativas_Viva'!K5:K46, "2. Ficha Técnica Completa")</f>
        <v/>
      </c>
      <c r="D9" s="14" t="inlineStr">
        <is>
          <t>B. Agua, suelo y clima</t>
        </is>
      </c>
      <c r="E9" s="15">
        <f>CONTAR.SI('1. Cartera_Iniciativas_Viva'!D5:D46, "B. Agua, suelo y clima")</f>
        <v/>
      </c>
    </row>
    <row r="10">
      <c r="A10" s="14" t="inlineStr">
        <is>
          <t>3. En Evaluación Ex-Ante</t>
        </is>
      </c>
      <c r="B10" s="15">
        <f>CONTAR.SI('1. Cartera_Iniciativas_Viva'!K5:K46, "3. En Evaluación Ex-Ante")</f>
        <v/>
      </c>
      <c r="D10" s="14" t="inlineStr">
        <is>
          <t>C. Bioeconomía y valor agregado</t>
        </is>
      </c>
      <c r="E10" s="15">
        <f>CONTAR.SI('1. Cartera_Iniciativas_Viva'!D5:D46, "C. Bioeconomía y valor agregado")</f>
        <v/>
      </c>
    </row>
    <row r="11">
      <c r="A11" s="14" t="inlineStr">
        <is>
          <t>4. Priorizada FRPD</t>
        </is>
      </c>
      <c r="B11" s="15">
        <f>CONTAR.SI('1. Cartera_Iniciativas_Viva'!K5:K46, "4. Priorizada FRPD")</f>
        <v/>
      </c>
      <c r="D11" s="14" t="inlineStr">
        <is>
          <t>D. Energía, conectividad y digitalización</t>
        </is>
      </c>
      <c r="E11" s="15">
        <f>CONTAR.SI('1. Cartera_Iniciativas_Viva'!D5:D46, "D. Energía, conectividad y digitalización")</f>
        <v/>
      </c>
    </row>
    <row r="12">
      <c r="A12" s="14" t="inlineStr">
        <is>
          <t>5. En Convenio / Ejecución</t>
        </is>
      </c>
      <c r="B12" s="15">
        <f>CONTAR.SI('1. Cartera_Iniciativas_Viva'!K5:K46, "5. En Convenio / Ejecución")</f>
        <v/>
      </c>
    </row>
  </sheetData>
  <mergeCells count="4">
    <mergeCell ref="A5:C5"/>
    <mergeCell ref="A4:C4"/>
    <mergeCell ref="D4:F4"/>
    <mergeCell ref="D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2026-10-02T12:44:57Z</dcterms:created>
  <dcterms:modified xsi:type="dcterms:W3CDTF">2026-10-02T12:44:57Z</dcterms:modified>
</cp:coreProperties>
</file>